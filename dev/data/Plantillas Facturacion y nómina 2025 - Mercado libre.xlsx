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julian_piedrahitar_dhl_com/Documents/Desktop/NOMINA/01. NOMINA/2025/MELI/8. AGOSTO/8. Agosto/"/>
    </mc:Choice>
  </mc:AlternateContent>
  <xr:revisionPtr revIDLastSave="0" documentId="8_{351D0B8E-1D8E-4CBE-8EDF-3DB0EFCBDD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lle Facturacion Agosto" sheetId="22" r:id="rId1"/>
  </sheets>
  <definedNames>
    <definedName name="_xlnm._FilterDatabase" localSheetId="0" hidden="1">'Detalle Facturacion Agosto'!$A$1:$CJ$252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22" l="1"/>
  <c r="AS30" i="22"/>
  <c r="AK30" i="22"/>
  <c r="AG30" i="22"/>
  <c r="W30" i="22"/>
  <c r="U30" i="22"/>
  <c r="AG27" i="22"/>
  <c r="AG101" i="22"/>
  <c r="AG146" i="22"/>
  <c r="AS7" i="22"/>
  <c r="AG7" i="22"/>
  <c r="U7" i="22"/>
  <c r="AG83" i="22"/>
  <c r="AG73" i="22"/>
  <c r="AG72" i="22"/>
  <c r="AG70" i="22"/>
  <c r="AG69" i="22"/>
  <c r="AG68" i="22"/>
  <c r="AG49" i="22"/>
  <c r="AS149" i="22"/>
  <c r="AS134" i="22"/>
  <c r="AS133" i="22"/>
  <c r="AS132" i="22"/>
  <c r="AS83" i="22"/>
  <c r="AS73" i="22"/>
  <c r="AS72" i="22"/>
  <c r="AS70" i="22"/>
  <c r="AS69" i="22"/>
  <c r="AS68" i="22"/>
  <c r="AS66" i="22"/>
  <c r="AS55" i="22"/>
  <c r="AS49" i="22"/>
  <c r="AS45" i="22"/>
  <c r="AS39" i="22"/>
  <c r="AS26" i="22"/>
  <c r="AS5" i="22"/>
  <c r="AK72" i="22"/>
  <c r="AK70" i="22"/>
  <c r="AK69" i="22"/>
  <c r="AK68" i="22"/>
  <c r="AK66" i="22"/>
  <c r="AK55" i="22"/>
  <c r="AK49" i="22"/>
  <c r="AK45" i="22"/>
  <c r="AK39" i="22"/>
  <c r="AK26" i="22"/>
  <c r="AG66" i="22"/>
  <c r="AG55" i="22"/>
  <c r="AG45" i="22"/>
  <c r="AG39" i="22"/>
  <c r="W149" i="22"/>
  <c r="W134" i="22"/>
  <c r="W133" i="22"/>
  <c r="W132" i="22"/>
  <c r="W83" i="22"/>
  <c r="W73" i="22"/>
  <c r="W72" i="22"/>
  <c r="W70" i="22"/>
  <c r="W69" i="22"/>
  <c r="W68" i="22"/>
  <c r="W66" i="22"/>
  <c r="W55" i="22"/>
  <c r="W49" i="22"/>
  <c r="W45" i="22"/>
  <c r="W39" i="22"/>
  <c r="W26" i="22"/>
  <c r="W5" i="22"/>
  <c r="U149" i="22"/>
  <c r="U134" i="22"/>
  <c r="U133" i="22"/>
  <c r="U132" i="22"/>
  <c r="U83" i="22"/>
  <c r="U73" i="22"/>
  <c r="U72" i="22"/>
  <c r="U70" i="22"/>
  <c r="U69" i="22"/>
  <c r="U68" i="22"/>
  <c r="U66" i="22"/>
  <c r="U55" i="22"/>
  <c r="U49" i="22"/>
  <c r="U45" i="22"/>
  <c r="U39" i="22"/>
  <c r="AS182" i="22"/>
  <c r="AS141" i="22"/>
  <c r="AS118" i="22"/>
  <c r="AS117" i="22"/>
  <c r="AS108" i="22"/>
  <c r="AS95" i="22"/>
  <c r="AS58" i="22"/>
  <c r="AK182" i="22"/>
  <c r="W182" i="22"/>
  <c r="U141" i="22"/>
  <c r="U118" i="22"/>
  <c r="U117" i="22"/>
  <c r="U108" i="22"/>
  <c r="U95" i="22"/>
  <c r="U58" i="22"/>
  <c r="AS71" i="22"/>
  <c r="AK71" i="22"/>
  <c r="AG71" i="22"/>
  <c r="W71" i="22"/>
  <c r="U71" i="22"/>
  <c r="AS21" i="22"/>
  <c r="AK21" i="22"/>
  <c r="AG21" i="22"/>
  <c r="W21" i="22"/>
  <c r="U21" i="22"/>
  <c r="AS59" i="22"/>
  <c r="AK59" i="22"/>
  <c r="AG59" i="22"/>
  <c r="W59" i="22"/>
  <c r="U59" i="22"/>
  <c r="AS63" i="22"/>
  <c r="W63" i="22"/>
  <c r="AS50" i="22"/>
  <c r="U50" i="22"/>
  <c r="AS171" i="22" l="1"/>
  <c r="AS170" i="22"/>
  <c r="AS169" i="22"/>
  <c r="AS158" i="22"/>
  <c r="AS150" i="22"/>
  <c r="AS148" i="22"/>
  <c r="AS140" i="22"/>
  <c r="AS139" i="22"/>
  <c r="AS131" i="22"/>
  <c r="AS126" i="22"/>
  <c r="AS125" i="22"/>
  <c r="AS124" i="22"/>
  <c r="AS122" i="22"/>
  <c r="AS121" i="22"/>
  <c r="AS116" i="22"/>
  <c r="AS114" i="22"/>
  <c r="AS97" i="22"/>
  <c r="AS94" i="22"/>
  <c r="AS93" i="22"/>
  <c r="AS76" i="22"/>
  <c r="AS75" i="22"/>
  <c r="AS74" i="22"/>
  <c r="AS57" i="22"/>
  <c r="AS47" i="22"/>
  <c r="AS44" i="22"/>
  <c r="AS42" i="22"/>
  <c r="AS38" i="22"/>
  <c r="AS36" i="22"/>
  <c r="AS32" i="22"/>
  <c r="AS28" i="22"/>
  <c r="AS18" i="22"/>
  <c r="AS12" i="22"/>
  <c r="AG114" i="22"/>
  <c r="AG108" i="22"/>
  <c r="AG97" i="22"/>
  <c r="AG95" i="22"/>
  <c r="AG94" i="22"/>
  <c r="AG93" i="22"/>
  <c r="AG76" i="22"/>
  <c r="AG75" i="22"/>
  <c r="AG74" i="22"/>
  <c r="AG63" i="22"/>
  <c r="AG58" i="22"/>
  <c r="AG57" i="22"/>
  <c r="AG47" i="22"/>
  <c r="AG44" i="22"/>
  <c r="AG42" i="22"/>
  <c r="AG38" i="22"/>
  <c r="AG36" i="22"/>
  <c r="AG32" i="22"/>
  <c r="AG28" i="22"/>
  <c r="W171" i="22"/>
  <c r="W170" i="22"/>
  <c r="W169" i="22"/>
  <c r="W158" i="22"/>
  <c r="W150" i="22"/>
  <c r="W148" i="22"/>
  <c r="W141" i="22"/>
  <c r="W140" i="22"/>
  <c r="W139" i="22"/>
  <c r="W131" i="22"/>
  <c r="W126" i="22"/>
  <c r="W125" i="22"/>
  <c r="W124" i="22"/>
  <c r="W122" i="22"/>
  <c r="W121" i="22"/>
  <c r="W118" i="22"/>
  <c r="W117" i="22"/>
  <c r="W116" i="22"/>
  <c r="W114" i="22"/>
  <c r="W108" i="22"/>
  <c r="W97" i="22"/>
  <c r="W95" i="22"/>
  <c r="W94" i="22"/>
  <c r="W93" i="22"/>
  <c r="W76" i="22"/>
  <c r="W75" i="22"/>
  <c r="W74" i="22"/>
  <c r="W58" i="22"/>
  <c r="W57" i="22"/>
  <c r="W47" i="22"/>
  <c r="U182" i="22"/>
  <c r="U171" i="22"/>
  <c r="U170" i="22"/>
  <c r="U169" i="22"/>
  <c r="U158" i="22"/>
  <c r="U150" i="22"/>
  <c r="U148" i="22"/>
  <c r="U140" i="22"/>
  <c r="U139" i="22"/>
  <c r="U131" i="22"/>
  <c r="U126" i="22"/>
  <c r="U125" i="22"/>
  <c r="U124" i="22"/>
  <c r="U122" i="22"/>
  <c r="U121" i="22"/>
  <c r="U116" i="22"/>
  <c r="U114" i="22"/>
  <c r="U97" i="22"/>
  <c r="U94" i="22"/>
  <c r="U93" i="22"/>
  <c r="U76" i="22"/>
  <c r="U75" i="22"/>
  <c r="U74" i="22"/>
  <c r="U63" i="22"/>
  <c r="U57" i="22"/>
  <c r="U47" i="22"/>
  <c r="U44" i="22"/>
  <c r="U42" i="22"/>
  <c r="U38" i="22"/>
  <c r="U36" i="22"/>
  <c r="U32" i="22"/>
  <c r="U28" i="22"/>
  <c r="U18" i="22"/>
  <c r="U12" i="22"/>
  <c r="U6" i="22"/>
  <c r="U2" i="22"/>
  <c r="AI252" i="22"/>
  <c r="AI251" i="22"/>
  <c r="AI250" i="22"/>
  <c r="AI249" i="22"/>
  <c r="AI248" i="22"/>
  <c r="AI247" i="22"/>
  <c r="AI246" i="22"/>
  <c r="AI245" i="22"/>
  <c r="AI244" i="22"/>
  <c r="AI243" i="22"/>
  <c r="AI242" i="22"/>
  <c r="AI241" i="22"/>
  <c r="AI240" i="22"/>
  <c r="AI239" i="22"/>
  <c r="AI238" i="22"/>
  <c r="AI237" i="22"/>
  <c r="AI236" i="22"/>
  <c r="AI235" i="22"/>
  <c r="AI234" i="22"/>
  <c r="AI233" i="22"/>
  <c r="AI232" i="22"/>
  <c r="AI231" i="22"/>
  <c r="AI230" i="22"/>
  <c r="AI229" i="22"/>
  <c r="AI228" i="22"/>
  <c r="AI227" i="22"/>
  <c r="AI226" i="22"/>
  <c r="AI225" i="22"/>
  <c r="AI224" i="22"/>
  <c r="AI223" i="22"/>
  <c r="AI222" i="22"/>
  <c r="AI221" i="22"/>
  <c r="AI220" i="22"/>
  <c r="AI219" i="22"/>
  <c r="AI218" i="22"/>
  <c r="AI217" i="22"/>
  <c r="AI216" i="22"/>
  <c r="AI215" i="22"/>
  <c r="AI214" i="22"/>
  <c r="AI213" i="22"/>
  <c r="AI212" i="22"/>
  <c r="AI211" i="22"/>
  <c r="AI210" i="22"/>
  <c r="AI209" i="22"/>
  <c r="AI208" i="22"/>
  <c r="AI207" i="22"/>
  <c r="AI206" i="22"/>
  <c r="AI205" i="22"/>
  <c r="AI204" i="22"/>
  <c r="AI203" i="22"/>
  <c r="AI202" i="22"/>
  <c r="AI201" i="22"/>
  <c r="AI200" i="22"/>
  <c r="AI199" i="22"/>
  <c r="AI198" i="22"/>
  <c r="AI197" i="22"/>
  <c r="AI196" i="22"/>
  <c r="AI195" i="22"/>
  <c r="AI194" i="22"/>
  <c r="AI193" i="22"/>
  <c r="AI192" i="22"/>
  <c r="AI191" i="22"/>
  <c r="AI190" i="22"/>
  <c r="AI189" i="22"/>
  <c r="AI188" i="22"/>
  <c r="AI187" i="22"/>
  <c r="AI186" i="22"/>
  <c r="AI185" i="22"/>
  <c r="AI184" i="22"/>
  <c r="AI183" i="22"/>
  <c r="AI182" i="22"/>
  <c r="AI181" i="22"/>
  <c r="AI180" i="22"/>
  <c r="AI179" i="22"/>
  <c r="AI178" i="22"/>
  <c r="AI177" i="22"/>
  <c r="AI176" i="22"/>
  <c r="AI175" i="22"/>
  <c r="AI174" i="22"/>
  <c r="AI173" i="22"/>
  <c r="AI172" i="22"/>
  <c r="AI171" i="22"/>
  <c r="AI170" i="22"/>
  <c r="AI169" i="22"/>
  <c r="AI168" i="22"/>
  <c r="AI167" i="22"/>
  <c r="AI166" i="22"/>
  <c r="AI165" i="22"/>
  <c r="AI164" i="22"/>
  <c r="AI163" i="22"/>
  <c r="AI162" i="22"/>
  <c r="AI161" i="22"/>
  <c r="AI160" i="22"/>
  <c r="AI159" i="22"/>
  <c r="AI158" i="22"/>
  <c r="AI157" i="22"/>
  <c r="AI156" i="22"/>
  <c r="AI155" i="22"/>
  <c r="AI154" i="22"/>
  <c r="AI153" i="22"/>
  <c r="AI152" i="22"/>
  <c r="AI151" i="22"/>
  <c r="AI150" i="22"/>
  <c r="AI149" i="22"/>
  <c r="AI148" i="22"/>
  <c r="AI147" i="22"/>
  <c r="AI146" i="22"/>
  <c r="AI145" i="22"/>
  <c r="AI144" i="22"/>
  <c r="AI143" i="22"/>
  <c r="AI142" i="22"/>
  <c r="AI141" i="22"/>
  <c r="AI140" i="22"/>
  <c r="AI139" i="22"/>
  <c r="AI138" i="22"/>
  <c r="AI137" i="22"/>
  <c r="AI136" i="22"/>
  <c r="AI135" i="22"/>
  <c r="AI134" i="22"/>
  <c r="AI133" i="22"/>
  <c r="AI132" i="22"/>
  <c r="AI131" i="22"/>
  <c r="AI130" i="22"/>
  <c r="AI129" i="22"/>
  <c r="AI128" i="22"/>
  <c r="AI127" i="22"/>
  <c r="AI126" i="22"/>
  <c r="AI125" i="22"/>
  <c r="AI124" i="22"/>
  <c r="AI123" i="22"/>
  <c r="AI122" i="22"/>
  <c r="AI121" i="22"/>
  <c r="AI120" i="22"/>
  <c r="AI119" i="22"/>
  <c r="AI118" i="22"/>
  <c r="AI117" i="22"/>
  <c r="AI116" i="22"/>
  <c r="AI115" i="22"/>
  <c r="AI114" i="22"/>
  <c r="AI113" i="22"/>
  <c r="AI112" i="22"/>
  <c r="AI111" i="22"/>
  <c r="AI110" i="22"/>
  <c r="AI109" i="22"/>
  <c r="AI108" i="22"/>
  <c r="AI107" i="22"/>
  <c r="AI106" i="22"/>
  <c r="AI105" i="22"/>
  <c r="AI104" i="22"/>
  <c r="AI103" i="22"/>
  <c r="AI102" i="22"/>
  <c r="AI101" i="22"/>
  <c r="AI100" i="22"/>
  <c r="AI99" i="22"/>
  <c r="AI98" i="22"/>
  <c r="AI97" i="22"/>
  <c r="AI96" i="22"/>
  <c r="AI95" i="22"/>
  <c r="AI94" i="22"/>
  <c r="AI93" i="22"/>
  <c r="AI92" i="22"/>
  <c r="AI91" i="22"/>
  <c r="AI90" i="22"/>
  <c r="AI89" i="22"/>
  <c r="AI88" i="22"/>
  <c r="AI87" i="22"/>
  <c r="AI86" i="22"/>
  <c r="AI85" i="22"/>
  <c r="AI84" i="22"/>
  <c r="AI83" i="22"/>
  <c r="AI82" i="22"/>
  <c r="AI81" i="22"/>
  <c r="AI80" i="22"/>
  <c r="AI79" i="22"/>
  <c r="AI78" i="22"/>
  <c r="AI77" i="22"/>
  <c r="AI76" i="22"/>
  <c r="AI75" i="22"/>
  <c r="AI74" i="22"/>
  <c r="AI73" i="22"/>
  <c r="AI72" i="22"/>
  <c r="AI71" i="22"/>
  <c r="AI70" i="22"/>
  <c r="AI69" i="22"/>
  <c r="AI68" i="22"/>
  <c r="AI67" i="22"/>
  <c r="AI66" i="22"/>
  <c r="AI65" i="22"/>
  <c r="AI64" i="22"/>
  <c r="AI63" i="22"/>
  <c r="AI62" i="22"/>
  <c r="AI61" i="22"/>
  <c r="AI60" i="22"/>
  <c r="AI59" i="22"/>
  <c r="AI58" i="22"/>
  <c r="AI57" i="22"/>
  <c r="AI56" i="22"/>
  <c r="AI55" i="22"/>
  <c r="AI54" i="22"/>
  <c r="AI53" i="22"/>
  <c r="AI52" i="22"/>
  <c r="AI51" i="22"/>
  <c r="AI50" i="22"/>
  <c r="AI49" i="22"/>
  <c r="AI48" i="22"/>
  <c r="AI47" i="22"/>
  <c r="AI46" i="22"/>
  <c r="AI45" i="22"/>
  <c r="AI44" i="22"/>
  <c r="AI43" i="22"/>
  <c r="AI42" i="22"/>
  <c r="AI41" i="22"/>
  <c r="AI40" i="22"/>
  <c r="AI39" i="22"/>
  <c r="AI38" i="22"/>
  <c r="AI37" i="22"/>
  <c r="AI36" i="22"/>
  <c r="AI35" i="22"/>
  <c r="AI34" i="22"/>
  <c r="AI33" i="22"/>
  <c r="AI32" i="22"/>
  <c r="AI31" i="22"/>
  <c r="AI30" i="22"/>
  <c r="AI29" i="22"/>
  <c r="AI28" i="22"/>
  <c r="AI27" i="22"/>
  <c r="AI26" i="22"/>
  <c r="AI25" i="22"/>
  <c r="AI24" i="22"/>
  <c r="AI23" i="22"/>
  <c r="AI22" i="22"/>
  <c r="AI21" i="22"/>
  <c r="AI20" i="22"/>
  <c r="AI19" i="22"/>
  <c r="AI18" i="22"/>
  <c r="AI17" i="22"/>
  <c r="AI16" i="22"/>
  <c r="AI15" i="22"/>
  <c r="AI14" i="22"/>
  <c r="AI13" i="22"/>
  <c r="AI12" i="22"/>
  <c r="AI11" i="22"/>
  <c r="AI10" i="22"/>
  <c r="AI9" i="22"/>
  <c r="AI8" i="22"/>
  <c r="AI7" i="22"/>
  <c r="AI6" i="22"/>
  <c r="AI5" i="22"/>
  <c r="AI4" i="22"/>
  <c r="AI3" i="22"/>
  <c r="AI2" i="22"/>
  <c r="AG3" i="22"/>
  <c r="AG5" i="22"/>
  <c r="AG6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2" i="22"/>
  <c r="AG23" i="22"/>
  <c r="AG24" i="22"/>
  <c r="AG25" i="22"/>
  <c r="AG26" i="22"/>
  <c r="AG29" i="22"/>
  <c r="AG31" i="22"/>
  <c r="AG33" i="22"/>
  <c r="AG34" i="22"/>
  <c r="AG35" i="22"/>
  <c r="AG37" i="22"/>
  <c r="AG40" i="22"/>
  <c r="AG41" i="22"/>
  <c r="AG43" i="22"/>
  <c r="AG46" i="22"/>
  <c r="AG48" i="22"/>
  <c r="AG50" i="22"/>
  <c r="AG51" i="22"/>
  <c r="AG52" i="22"/>
  <c r="AG53" i="22"/>
  <c r="AG54" i="22"/>
  <c r="AG56" i="22"/>
  <c r="AG60" i="22"/>
  <c r="AG61" i="22"/>
  <c r="AG62" i="22"/>
  <c r="AG64" i="22"/>
  <c r="AG65" i="22"/>
  <c r="AG67" i="22"/>
  <c r="AG77" i="22"/>
  <c r="AG78" i="22"/>
  <c r="AG79" i="22"/>
  <c r="AG80" i="22"/>
  <c r="AG81" i="22"/>
  <c r="AG82" i="22"/>
  <c r="AG84" i="22"/>
  <c r="AG85" i="22"/>
  <c r="AG86" i="22"/>
  <c r="AG87" i="22"/>
  <c r="AG88" i="22"/>
  <c r="AG89" i="22"/>
  <c r="AG90" i="22"/>
  <c r="AG91" i="22"/>
  <c r="AG92" i="22"/>
  <c r="AG96" i="22"/>
  <c r="AG98" i="22"/>
  <c r="AG99" i="22"/>
  <c r="AG100" i="22"/>
  <c r="AG102" i="22"/>
  <c r="AG103" i="22"/>
  <c r="AG104" i="22"/>
  <c r="AG105" i="22"/>
  <c r="AG106" i="22"/>
  <c r="AG107" i="22"/>
  <c r="AG109" i="22"/>
  <c r="AG110" i="22"/>
  <c r="AG111" i="22"/>
  <c r="AG112" i="22"/>
  <c r="AG113" i="22"/>
  <c r="AG115" i="22"/>
  <c r="AG116" i="22"/>
  <c r="AG117" i="22"/>
  <c r="AG118" i="22"/>
  <c r="AG119" i="22"/>
  <c r="AG120" i="22"/>
  <c r="AG121" i="22"/>
  <c r="AG122" i="22"/>
  <c r="AG123" i="22"/>
  <c r="AG124" i="22"/>
  <c r="AG125" i="22"/>
  <c r="AG126" i="22"/>
  <c r="AG127" i="22"/>
  <c r="AG128" i="22"/>
  <c r="AG129" i="22"/>
  <c r="AG130" i="22"/>
  <c r="AG131" i="22"/>
  <c r="AG132" i="22"/>
  <c r="AG133" i="22"/>
  <c r="AG134" i="22"/>
  <c r="AG135" i="22"/>
  <c r="AG136" i="22"/>
  <c r="AG137" i="22"/>
  <c r="AG138" i="22"/>
  <c r="AG139" i="22"/>
  <c r="AG140" i="22"/>
  <c r="AG141" i="22"/>
  <c r="AG142" i="22"/>
  <c r="AG143" i="22"/>
  <c r="AG144" i="22"/>
  <c r="AG145" i="22"/>
  <c r="AG147" i="22"/>
  <c r="AG148" i="22"/>
  <c r="AG149" i="22"/>
  <c r="AG150" i="22"/>
  <c r="AG151" i="22"/>
  <c r="AG152" i="22"/>
  <c r="AG153" i="22"/>
  <c r="AG154" i="22"/>
  <c r="AG155" i="22"/>
  <c r="AG156" i="22"/>
  <c r="AG157" i="22"/>
  <c r="AG158" i="22"/>
  <c r="AG159" i="22"/>
  <c r="AG160" i="22"/>
  <c r="AG161" i="22"/>
  <c r="AG162" i="22"/>
  <c r="AG163" i="22"/>
  <c r="AG164" i="22"/>
  <c r="AG165" i="22"/>
  <c r="AG166" i="22"/>
  <c r="AG167" i="22"/>
  <c r="AG168" i="22"/>
  <c r="AG169" i="22"/>
  <c r="AG170" i="22"/>
  <c r="AG171" i="22"/>
  <c r="AG172" i="22"/>
  <c r="AG173" i="22"/>
  <c r="AG174" i="22"/>
  <c r="AG175" i="22"/>
  <c r="AG176" i="22"/>
  <c r="AG177" i="22"/>
  <c r="AG178" i="22"/>
  <c r="AG179" i="22"/>
  <c r="AG180" i="22"/>
  <c r="AG181" i="22"/>
  <c r="AG182" i="22"/>
  <c r="AG183" i="22"/>
  <c r="AG184" i="22"/>
  <c r="AG185" i="22"/>
  <c r="AG186" i="22"/>
  <c r="AG187" i="22"/>
  <c r="AG188" i="22"/>
  <c r="AG189" i="22"/>
  <c r="AG190" i="22"/>
  <c r="AG191" i="22"/>
  <c r="AG192" i="22"/>
  <c r="AG193" i="22"/>
  <c r="AG194" i="22"/>
  <c r="AG195" i="22"/>
  <c r="AG196" i="22"/>
  <c r="AG197" i="22"/>
  <c r="AG198" i="22"/>
  <c r="AG199" i="22"/>
  <c r="AG200" i="22"/>
  <c r="AG201" i="22"/>
  <c r="AG202" i="22"/>
  <c r="AG203" i="22"/>
  <c r="AG204" i="22"/>
  <c r="AG205" i="22"/>
  <c r="AG206" i="22"/>
  <c r="AG207" i="22"/>
  <c r="AG208" i="22"/>
  <c r="AG209" i="22"/>
  <c r="AG210" i="22"/>
  <c r="AG211" i="22"/>
  <c r="AG212" i="22"/>
  <c r="AG213" i="22"/>
  <c r="AG214" i="22"/>
  <c r="AG215" i="22"/>
  <c r="AG216" i="22"/>
  <c r="AG217" i="22"/>
  <c r="AG218" i="22"/>
  <c r="AG219" i="22"/>
  <c r="AG220" i="22"/>
  <c r="AG221" i="22"/>
  <c r="AG222" i="22"/>
  <c r="AG223" i="22"/>
  <c r="AG224" i="22"/>
  <c r="AG225" i="22"/>
  <c r="AG226" i="22"/>
  <c r="AG227" i="22"/>
  <c r="AG228" i="22"/>
  <c r="AG229" i="22"/>
  <c r="AG230" i="22"/>
  <c r="AG231" i="22"/>
  <c r="AG232" i="22"/>
  <c r="AG233" i="22"/>
  <c r="AG234" i="22"/>
  <c r="AG235" i="22"/>
  <c r="AG236" i="22"/>
  <c r="AG237" i="22"/>
  <c r="AG238" i="22"/>
  <c r="AG239" i="22"/>
  <c r="AG240" i="22"/>
  <c r="AG241" i="22"/>
  <c r="AG242" i="22"/>
  <c r="AG243" i="22"/>
  <c r="AG244" i="22"/>
  <c r="AG245" i="22"/>
  <c r="AG246" i="22"/>
  <c r="AG247" i="22"/>
  <c r="AG248" i="22"/>
  <c r="AG249" i="22"/>
  <c r="AG250" i="22"/>
  <c r="AG251" i="22"/>
  <c r="AG252" i="22"/>
  <c r="AG2" i="22"/>
  <c r="AS252" i="22"/>
  <c r="AS251" i="22"/>
  <c r="AS250" i="22"/>
  <c r="AS249" i="22"/>
  <c r="AS248" i="22"/>
  <c r="AS247" i="22"/>
  <c r="AS246" i="22"/>
  <c r="AS245" i="22"/>
  <c r="AS244" i="22"/>
  <c r="AS243" i="22"/>
  <c r="AS242" i="22"/>
  <c r="AS241" i="22"/>
  <c r="AS240" i="22"/>
  <c r="AS239" i="22"/>
  <c r="AS238" i="22"/>
  <c r="AS237" i="22"/>
  <c r="AS236" i="22"/>
  <c r="AS235" i="22"/>
  <c r="AS234" i="22"/>
  <c r="AS233" i="22"/>
  <c r="AS232" i="22"/>
  <c r="AS231" i="22"/>
  <c r="AS230" i="22"/>
  <c r="AS229" i="22"/>
  <c r="AS228" i="22"/>
  <c r="AS227" i="22"/>
  <c r="AS226" i="22"/>
  <c r="AS225" i="22"/>
  <c r="AS224" i="22"/>
  <c r="AS223" i="22"/>
  <c r="AS222" i="22"/>
  <c r="AS221" i="22"/>
  <c r="AS220" i="22"/>
  <c r="AS219" i="22"/>
  <c r="AS218" i="22"/>
  <c r="AS217" i="22"/>
  <c r="AS216" i="22"/>
  <c r="AS215" i="22"/>
  <c r="AS214" i="22"/>
  <c r="AS213" i="22"/>
  <c r="AS212" i="22"/>
  <c r="AS211" i="22"/>
  <c r="AS210" i="22"/>
  <c r="AS209" i="22"/>
  <c r="AS208" i="22"/>
  <c r="AS207" i="22"/>
  <c r="AS206" i="22"/>
  <c r="AS205" i="22"/>
  <c r="AS204" i="22"/>
  <c r="AS203" i="22"/>
  <c r="AS202" i="22"/>
  <c r="AS201" i="22"/>
  <c r="AS200" i="22"/>
  <c r="AS199" i="22"/>
  <c r="AS198" i="22"/>
  <c r="AS197" i="22"/>
  <c r="AS196" i="22"/>
  <c r="AS195" i="22"/>
  <c r="AS194" i="22"/>
  <c r="AS193" i="22"/>
  <c r="AS192" i="22"/>
  <c r="AS191" i="22"/>
  <c r="AS190" i="22"/>
  <c r="AS189" i="22"/>
  <c r="AS188" i="22"/>
  <c r="AS187" i="22"/>
  <c r="AS186" i="22"/>
  <c r="AS185" i="22"/>
  <c r="AS184" i="22"/>
  <c r="AS183" i="22"/>
  <c r="AS181" i="22"/>
  <c r="AS180" i="22"/>
  <c r="AS179" i="22"/>
  <c r="AS178" i="22"/>
  <c r="AS177" i="22"/>
  <c r="AS176" i="22"/>
  <c r="AS175" i="22"/>
  <c r="AS174" i="22"/>
  <c r="AS173" i="22"/>
  <c r="AS172" i="22"/>
  <c r="AS168" i="22"/>
  <c r="AS167" i="22"/>
  <c r="AS166" i="22"/>
  <c r="AS165" i="22"/>
  <c r="AS164" i="22"/>
  <c r="AS163" i="22"/>
  <c r="AS162" i="22"/>
  <c r="AS161" i="22"/>
  <c r="AS160" i="22"/>
  <c r="AS159" i="22"/>
  <c r="AS157" i="22"/>
  <c r="AS156" i="22"/>
  <c r="AS155" i="22"/>
  <c r="AS154" i="22"/>
  <c r="AS153" i="22"/>
  <c r="AS152" i="22"/>
  <c r="AS151" i="22"/>
  <c r="AS147" i="22"/>
  <c r="AS146" i="22"/>
  <c r="AS145" i="22"/>
  <c r="AS144" i="22"/>
  <c r="AS143" i="22"/>
  <c r="AS142" i="22"/>
  <c r="AS138" i="22"/>
  <c r="AS137" i="22"/>
  <c r="AS136" i="22"/>
  <c r="AS135" i="22"/>
  <c r="AS130" i="22"/>
  <c r="AS129" i="22"/>
  <c r="AS128" i="22"/>
  <c r="AS127" i="22"/>
  <c r="AS123" i="22"/>
  <c r="AS120" i="22"/>
  <c r="AS119" i="22"/>
  <c r="AS115" i="22"/>
  <c r="AS113" i="22"/>
  <c r="AS112" i="22"/>
  <c r="AS111" i="22"/>
  <c r="AS110" i="22"/>
  <c r="AS109" i="22"/>
  <c r="AS107" i="22"/>
  <c r="AS106" i="22"/>
  <c r="AS105" i="22"/>
  <c r="AS104" i="22"/>
  <c r="AS103" i="22"/>
  <c r="AS102" i="22"/>
  <c r="AS101" i="22"/>
  <c r="AS100" i="22"/>
  <c r="AS99" i="22"/>
  <c r="AS98" i="22"/>
  <c r="AS96" i="22"/>
  <c r="AS92" i="22"/>
  <c r="AS91" i="22"/>
  <c r="AS90" i="22"/>
  <c r="AS89" i="22"/>
  <c r="AS88" i="22"/>
  <c r="AS87" i="22"/>
  <c r="AS86" i="22"/>
  <c r="AS85" i="22"/>
  <c r="AS84" i="22"/>
  <c r="AS82" i="22"/>
  <c r="AS81" i="22"/>
  <c r="AS80" i="22"/>
  <c r="AS79" i="22"/>
  <c r="AS78" i="22"/>
  <c r="AS77" i="22"/>
  <c r="AS67" i="22"/>
  <c r="AS65" i="22"/>
  <c r="AS64" i="22"/>
  <c r="AS62" i="22"/>
  <c r="AS61" i="22"/>
  <c r="AS60" i="22"/>
  <c r="AS56" i="22"/>
  <c r="AS54" i="22"/>
  <c r="AS53" i="22"/>
  <c r="AS52" i="22"/>
  <c r="AS51" i="22"/>
  <c r="AS48" i="22"/>
  <c r="AS46" i="22"/>
  <c r="AS43" i="22"/>
  <c r="AS41" i="22"/>
  <c r="AS40" i="22"/>
  <c r="AS37" i="22"/>
  <c r="AS35" i="22"/>
  <c r="AS34" i="22"/>
  <c r="AS33" i="22"/>
  <c r="AS31" i="22"/>
  <c r="AS29" i="22"/>
  <c r="AS27" i="22"/>
  <c r="AS25" i="22"/>
  <c r="AS24" i="22"/>
  <c r="AS23" i="22"/>
  <c r="AS22" i="22"/>
  <c r="AS20" i="22"/>
  <c r="AS19" i="22"/>
  <c r="AS17" i="22"/>
  <c r="AS16" i="22"/>
  <c r="AS15" i="22"/>
  <c r="AS14" i="22"/>
  <c r="AS13" i="22"/>
  <c r="AS11" i="22"/>
  <c r="AS10" i="22"/>
  <c r="AS9" i="22"/>
  <c r="AS8" i="22"/>
  <c r="AS6" i="22"/>
  <c r="AS4" i="22"/>
  <c r="AS3" i="22"/>
  <c r="AS2" i="22"/>
  <c r="AM3" i="22"/>
  <c r="AM4" i="22"/>
  <c r="AM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36" i="22"/>
  <c r="AM37" i="22"/>
  <c r="AM38" i="22"/>
  <c r="AM39" i="22"/>
  <c r="AM40" i="22"/>
  <c r="AM41" i="22"/>
  <c r="AM42" i="22"/>
  <c r="AM43" i="22"/>
  <c r="AM44" i="22"/>
  <c r="AM45" i="22"/>
  <c r="AM46" i="22"/>
  <c r="AM47" i="22"/>
  <c r="AM48" i="22"/>
  <c r="AM49" i="22"/>
  <c r="AM50" i="22"/>
  <c r="AM51" i="22"/>
  <c r="AM52" i="22"/>
  <c r="AM53" i="22"/>
  <c r="AM54" i="22"/>
  <c r="AM55" i="22"/>
  <c r="AM56" i="22"/>
  <c r="AM57" i="22"/>
  <c r="AM58" i="22"/>
  <c r="AM59" i="22"/>
  <c r="AM60" i="22"/>
  <c r="AM61" i="22"/>
  <c r="AM62" i="22"/>
  <c r="AM63" i="22"/>
  <c r="AM64" i="22"/>
  <c r="AM65" i="22"/>
  <c r="AM66" i="22"/>
  <c r="AM67" i="22"/>
  <c r="AM68" i="22"/>
  <c r="AM69" i="22"/>
  <c r="AM70" i="22"/>
  <c r="AM71" i="22"/>
  <c r="AM72" i="22"/>
  <c r="AM73" i="22"/>
  <c r="AM74" i="22"/>
  <c r="AM75" i="22"/>
  <c r="AM76" i="22"/>
  <c r="AM77" i="22"/>
  <c r="AM78" i="22"/>
  <c r="AM79" i="22"/>
  <c r="AM80" i="22"/>
  <c r="AM81" i="22"/>
  <c r="AM82" i="22"/>
  <c r="AM83" i="22"/>
  <c r="AM84" i="22"/>
  <c r="AM85" i="22"/>
  <c r="AM86" i="22"/>
  <c r="AM87" i="22"/>
  <c r="AM88" i="22"/>
  <c r="AM89" i="22"/>
  <c r="AM90" i="22"/>
  <c r="AM91" i="22"/>
  <c r="AM92" i="22"/>
  <c r="AM93" i="22"/>
  <c r="AM94" i="22"/>
  <c r="AM95" i="22"/>
  <c r="AM96" i="22"/>
  <c r="AM97" i="22"/>
  <c r="AM98" i="22"/>
  <c r="AM99" i="22"/>
  <c r="AM100" i="22"/>
  <c r="AM101" i="22"/>
  <c r="AM102" i="22"/>
  <c r="AM103" i="22"/>
  <c r="AM104" i="22"/>
  <c r="AM105" i="22"/>
  <c r="AM106" i="22"/>
  <c r="AM107" i="22"/>
  <c r="AM108" i="22"/>
  <c r="AM109" i="22"/>
  <c r="AM110" i="22"/>
  <c r="AM111" i="22"/>
  <c r="AM112" i="22"/>
  <c r="AM113" i="22"/>
  <c r="AM114" i="22"/>
  <c r="AM115" i="22"/>
  <c r="AM116" i="22"/>
  <c r="AM117" i="22"/>
  <c r="AM118" i="22"/>
  <c r="AM119" i="22"/>
  <c r="AM120" i="22"/>
  <c r="AM121" i="22"/>
  <c r="AM122" i="22"/>
  <c r="AM123" i="22"/>
  <c r="AM124" i="22"/>
  <c r="AM125" i="22"/>
  <c r="AM126" i="22"/>
  <c r="AM127" i="22"/>
  <c r="AM128" i="22"/>
  <c r="AM129" i="22"/>
  <c r="AM130" i="22"/>
  <c r="AM131" i="22"/>
  <c r="AM132" i="22"/>
  <c r="AM133" i="22"/>
  <c r="AM134" i="22"/>
  <c r="AM135" i="22"/>
  <c r="AM136" i="22"/>
  <c r="AM137" i="22"/>
  <c r="AM138" i="22"/>
  <c r="AM139" i="22"/>
  <c r="AM140" i="22"/>
  <c r="AM141" i="22"/>
  <c r="AM142" i="22"/>
  <c r="AM143" i="22"/>
  <c r="AM144" i="22"/>
  <c r="AM145" i="22"/>
  <c r="AM146" i="22"/>
  <c r="AM147" i="22"/>
  <c r="AM148" i="22"/>
  <c r="AM149" i="22"/>
  <c r="AM150" i="22"/>
  <c r="AM151" i="22"/>
  <c r="AM152" i="22"/>
  <c r="AM153" i="22"/>
  <c r="AM154" i="22"/>
  <c r="AM155" i="22"/>
  <c r="AM156" i="22"/>
  <c r="AM157" i="22"/>
  <c r="AM158" i="22"/>
  <c r="AM159" i="22"/>
  <c r="AM160" i="22"/>
  <c r="AM161" i="22"/>
  <c r="AM162" i="22"/>
  <c r="AM163" i="22"/>
  <c r="AM164" i="22"/>
  <c r="AM165" i="22"/>
  <c r="AM166" i="22"/>
  <c r="AM167" i="22"/>
  <c r="AM168" i="22"/>
  <c r="AM169" i="22"/>
  <c r="AM170" i="22"/>
  <c r="AM171" i="22"/>
  <c r="AM172" i="22"/>
  <c r="AM173" i="22"/>
  <c r="AM174" i="22"/>
  <c r="AM175" i="22"/>
  <c r="AM176" i="22"/>
  <c r="AM177" i="22"/>
  <c r="AM178" i="22"/>
  <c r="AM179" i="22"/>
  <c r="AM180" i="22"/>
  <c r="AM181" i="22"/>
  <c r="AM182" i="22"/>
  <c r="AM183" i="22"/>
  <c r="AM184" i="22"/>
  <c r="AM185" i="22"/>
  <c r="AM186" i="22"/>
  <c r="AM187" i="22"/>
  <c r="AM188" i="22"/>
  <c r="AM189" i="22"/>
  <c r="AM190" i="22"/>
  <c r="AM191" i="22"/>
  <c r="AM192" i="22"/>
  <c r="AM193" i="22"/>
  <c r="AM194" i="22"/>
  <c r="AM195" i="22"/>
  <c r="AM196" i="22"/>
  <c r="AM197" i="22"/>
  <c r="AM198" i="22"/>
  <c r="AM199" i="22"/>
  <c r="AM200" i="22"/>
  <c r="AM201" i="22"/>
  <c r="AM202" i="22"/>
  <c r="AM203" i="22"/>
  <c r="AM204" i="22"/>
  <c r="AM205" i="22"/>
  <c r="AM206" i="22"/>
  <c r="AM207" i="22"/>
  <c r="AM208" i="22"/>
  <c r="AM209" i="22"/>
  <c r="AM210" i="22"/>
  <c r="AM211" i="22"/>
  <c r="AM212" i="22"/>
  <c r="AM213" i="22"/>
  <c r="AM214" i="22"/>
  <c r="AM215" i="22"/>
  <c r="AM216" i="22"/>
  <c r="AM217" i="22"/>
  <c r="AM218" i="22"/>
  <c r="AM219" i="22"/>
  <c r="AM220" i="22"/>
  <c r="AM221" i="22"/>
  <c r="AM222" i="22"/>
  <c r="AM223" i="22"/>
  <c r="AM224" i="22"/>
  <c r="AM225" i="22"/>
  <c r="AM226" i="22"/>
  <c r="AM227" i="22"/>
  <c r="AM228" i="22"/>
  <c r="AM229" i="22"/>
  <c r="AM230" i="22"/>
  <c r="AM231" i="22"/>
  <c r="AM232" i="22"/>
  <c r="AM233" i="22"/>
  <c r="AM234" i="22"/>
  <c r="AM235" i="22"/>
  <c r="AM236" i="22"/>
  <c r="AM237" i="22"/>
  <c r="AM238" i="22"/>
  <c r="AM239" i="22"/>
  <c r="AM240" i="22"/>
  <c r="AM241" i="22"/>
  <c r="AM242" i="22"/>
  <c r="AM243" i="22"/>
  <c r="AM244" i="22"/>
  <c r="AM245" i="22"/>
  <c r="AM246" i="22"/>
  <c r="AM247" i="22"/>
  <c r="AM248" i="22"/>
  <c r="AM249" i="22"/>
  <c r="AM250" i="22"/>
  <c r="AM251" i="22"/>
  <c r="AM252" i="22"/>
  <c r="AM2" i="22"/>
  <c r="AK252" i="22"/>
  <c r="AK251" i="22"/>
  <c r="AK250" i="22"/>
  <c r="AK249" i="22"/>
  <c r="AK248" i="22"/>
  <c r="AK247" i="22"/>
  <c r="AK246" i="22"/>
  <c r="AK245" i="22"/>
  <c r="AK244" i="22"/>
  <c r="AK243" i="22"/>
  <c r="AK242" i="22"/>
  <c r="AK241" i="22"/>
  <c r="AK240" i="22"/>
  <c r="AK239" i="22"/>
  <c r="AK238" i="22"/>
  <c r="AK237" i="22"/>
  <c r="AK236" i="22"/>
  <c r="AK235" i="22"/>
  <c r="AK234" i="22"/>
  <c r="AK233" i="22"/>
  <c r="AK232" i="22"/>
  <c r="AK231" i="22"/>
  <c r="AK230" i="22"/>
  <c r="AK229" i="22"/>
  <c r="AK228" i="22"/>
  <c r="AK227" i="22"/>
  <c r="AK226" i="22"/>
  <c r="AK225" i="22"/>
  <c r="AK224" i="22"/>
  <c r="AK223" i="22"/>
  <c r="AK222" i="22"/>
  <c r="AK221" i="22"/>
  <c r="AK220" i="22"/>
  <c r="AK219" i="22"/>
  <c r="AK218" i="22"/>
  <c r="AK217" i="22"/>
  <c r="AK216" i="22"/>
  <c r="AK215" i="22"/>
  <c r="AK214" i="22"/>
  <c r="AK213" i="22"/>
  <c r="AK212" i="22"/>
  <c r="AK211" i="22"/>
  <c r="AK210" i="22"/>
  <c r="AK209" i="22"/>
  <c r="AK208" i="22"/>
  <c r="AK207" i="22"/>
  <c r="AK206" i="22"/>
  <c r="AK205" i="22"/>
  <c r="AK204" i="22"/>
  <c r="AK203" i="22"/>
  <c r="AK202" i="22"/>
  <c r="AK201" i="22"/>
  <c r="AK200" i="22"/>
  <c r="AK199" i="22"/>
  <c r="AK198" i="22"/>
  <c r="AK197" i="22"/>
  <c r="AK196" i="22"/>
  <c r="AK195" i="22"/>
  <c r="AK194" i="22"/>
  <c r="AK193" i="22"/>
  <c r="AK192" i="22"/>
  <c r="AK191" i="22"/>
  <c r="AK190" i="22"/>
  <c r="AK189" i="22"/>
  <c r="AK188" i="22"/>
  <c r="AK187" i="22"/>
  <c r="AK186" i="22"/>
  <c r="AK185" i="22"/>
  <c r="AK184" i="22"/>
  <c r="AK183" i="22"/>
  <c r="AK181" i="22"/>
  <c r="AK180" i="22"/>
  <c r="AK179" i="22"/>
  <c r="AK178" i="22"/>
  <c r="AK177" i="22"/>
  <c r="AK176" i="22"/>
  <c r="AK175" i="22"/>
  <c r="AK174" i="22"/>
  <c r="AK173" i="22"/>
  <c r="AK172" i="22"/>
  <c r="AK171" i="22"/>
  <c r="AK170" i="22"/>
  <c r="AK169" i="22"/>
  <c r="AK168" i="22"/>
  <c r="AK167" i="22"/>
  <c r="AK166" i="22"/>
  <c r="AK165" i="22"/>
  <c r="AK164" i="22"/>
  <c r="AK163" i="22"/>
  <c r="AK162" i="22"/>
  <c r="AK161" i="22"/>
  <c r="AK160" i="22"/>
  <c r="AK159" i="22"/>
  <c r="AK158" i="22"/>
  <c r="AK157" i="22"/>
  <c r="AK156" i="22"/>
  <c r="AK155" i="22"/>
  <c r="AK154" i="22"/>
  <c r="AK153" i="22"/>
  <c r="AK152" i="22"/>
  <c r="AK151" i="22"/>
  <c r="AK150" i="22"/>
  <c r="AK149" i="22"/>
  <c r="AK148" i="22"/>
  <c r="AK147" i="22"/>
  <c r="AK146" i="22"/>
  <c r="AK145" i="22"/>
  <c r="AK144" i="22"/>
  <c r="AK143" i="22"/>
  <c r="AK142" i="22"/>
  <c r="AK141" i="22"/>
  <c r="AK140" i="22"/>
  <c r="AK139" i="22"/>
  <c r="AK138" i="22"/>
  <c r="AK137" i="22"/>
  <c r="AK136" i="22"/>
  <c r="AK135" i="22"/>
  <c r="AK134" i="22"/>
  <c r="AK133" i="22"/>
  <c r="AK132" i="22"/>
  <c r="AK131" i="22"/>
  <c r="AK130" i="22"/>
  <c r="AK129" i="22"/>
  <c r="AK128" i="22"/>
  <c r="AK127" i="22"/>
  <c r="AK126" i="22"/>
  <c r="AK125" i="22"/>
  <c r="AK124" i="22"/>
  <c r="AK123" i="22"/>
  <c r="AK122" i="22"/>
  <c r="AK121" i="22"/>
  <c r="AK120" i="22"/>
  <c r="AK119" i="22"/>
  <c r="AK118" i="22"/>
  <c r="AK117" i="22"/>
  <c r="AK116" i="22"/>
  <c r="AK115" i="22"/>
  <c r="AK114" i="22"/>
  <c r="AK113" i="22"/>
  <c r="AK112" i="22"/>
  <c r="AK111" i="22"/>
  <c r="AK110" i="22"/>
  <c r="AK109" i="22"/>
  <c r="AK108" i="22"/>
  <c r="AK107" i="22"/>
  <c r="AK106" i="22"/>
  <c r="AK105" i="22"/>
  <c r="AK104" i="22"/>
  <c r="AK103" i="22"/>
  <c r="AK102" i="22"/>
  <c r="AK101" i="22"/>
  <c r="AK100" i="22"/>
  <c r="AK99" i="22"/>
  <c r="AK98" i="22"/>
  <c r="AK97" i="22"/>
  <c r="AK96" i="22"/>
  <c r="AK95" i="22"/>
  <c r="AK94" i="22"/>
  <c r="AK93" i="22"/>
  <c r="AK92" i="22"/>
  <c r="AK91" i="22"/>
  <c r="AK90" i="22"/>
  <c r="AK89" i="22"/>
  <c r="AK88" i="22"/>
  <c r="AK87" i="22"/>
  <c r="AK86" i="22"/>
  <c r="AK85" i="22"/>
  <c r="AK84" i="22"/>
  <c r="AK83" i="22"/>
  <c r="AK82" i="22"/>
  <c r="AK81" i="22"/>
  <c r="AK80" i="22"/>
  <c r="AK79" i="22"/>
  <c r="AK78" i="22"/>
  <c r="AK77" i="22"/>
  <c r="AK76" i="22"/>
  <c r="AK75" i="22"/>
  <c r="AK74" i="22"/>
  <c r="AK73" i="22"/>
  <c r="AK67" i="22"/>
  <c r="AK65" i="22"/>
  <c r="AK64" i="22"/>
  <c r="AK63" i="22"/>
  <c r="AK62" i="22"/>
  <c r="AK61" i="22"/>
  <c r="AK60" i="22"/>
  <c r="AK58" i="22"/>
  <c r="AK57" i="22"/>
  <c r="AK56" i="22"/>
  <c r="AK54" i="22"/>
  <c r="AK53" i="22"/>
  <c r="AK52" i="22"/>
  <c r="AK51" i="22"/>
  <c r="AK50" i="22"/>
  <c r="AK48" i="22"/>
  <c r="AK47" i="22"/>
  <c r="AK46" i="22"/>
  <c r="AK44" i="22"/>
  <c r="AK43" i="22"/>
  <c r="AK42" i="22"/>
  <c r="AK41" i="22"/>
  <c r="AK40" i="22"/>
  <c r="AK38" i="22"/>
  <c r="AK37" i="22"/>
  <c r="AK36" i="22"/>
  <c r="AK35" i="22"/>
  <c r="AK34" i="22"/>
  <c r="AK33" i="22"/>
  <c r="AK32" i="22"/>
  <c r="AK31" i="22"/>
  <c r="AK29" i="22"/>
  <c r="AK28" i="22"/>
  <c r="AK27" i="22"/>
  <c r="AK25" i="22"/>
  <c r="AK24" i="22"/>
  <c r="AK23" i="22"/>
  <c r="AK22" i="22"/>
  <c r="AK20" i="22"/>
  <c r="AK19" i="22"/>
  <c r="AK18" i="22"/>
  <c r="AK17" i="22"/>
  <c r="AK16" i="22"/>
  <c r="AK15" i="22"/>
  <c r="AK14" i="22"/>
  <c r="AK13" i="22"/>
  <c r="AK12" i="22"/>
  <c r="AK11" i="22"/>
  <c r="AK10" i="22"/>
  <c r="AK9" i="22"/>
  <c r="AK8" i="22"/>
  <c r="AK7" i="22"/>
  <c r="AK6" i="22"/>
  <c r="AK5" i="22"/>
  <c r="AK4" i="22"/>
  <c r="AK3" i="22"/>
  <c r="AK2" i="22"/>
  <c r="AC2" i="22"/>
  <c r="AC3" i="22"/>
  <c r="AC4" i="22"/>
  <c r="AC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36" i="22"/>
  <c r="AC37" i="22"/>
  <c r="AC38" i="22"/>
  <c r="AC39" i="22"/>
  <c r="AC40" i="22"/>
  <c r="AC41" i="22"/>
  <c r="AC42" i="22"/>
  <c r="AC43" i="22"/>
  <c r="AC44" i="22"/>
  <c r="AC45" i="22"/>
  <c r="AC46" i="22"/>
  <c r="AC47" i="22"/>
  <c r="AC48" i="22"/>
  <c r="AC49" i="22"/>
  <c r="AC50" i="22"/>
  <c r="AC51" i="22"/>
  <c r="AC52" i="22"/>
  <c r="AC53" i="22"/>
  <c r="AC54" i="22"/>
  <c r="AC55" i="22"/>
  <c r="AC56" i="22"/>
  <c r="AC57" i="22"/>
  <c r="AC58" i="22"/>
  <c r="AC59" i="22"/>
  <c r="AC60" i="22"/>
  <c r="AC61" i="22"/>
  <c r="AC62" i="22"/>
  <c r="AC63" i="22"/>
  <c r="AC64" i="22"/>
  <c r="AC65" i="22"/>
  <c r="AC66" i="22"/>
  <c r="AC67" i="22"/>
  <c r="AC68" i="22"/>
  <c r="AC69" i="22"/>
  <c r="AC70" i="22"/>
  <c r="AC71" i="22"/>
  <c r="AC72" i="22"/>
  <c r="AC73" i="22"/>
  <c r="AC74" i="22"/>
  <c r="AC75" i="22"/>
  <c r="AC76" i="22"/>
  <c r="AC77" i="22"/>
  <c r="AC78" i="22"/>
  <c r="AC79" i="22"/>
  <c r="AC80" i="22"/>
  <c r="AC81" i="22"/>
  <c r="AC82" i="22"/>
  <c r="AC83" i="22"/>
  <c r="AC84" i="22"/>
  <c r="AC85" i="22"/>
  <c r="AC86" i="22"/>
  <c r="AC87" i="22"/>
  <c r="AC88" i="22"/>
  <c r="AC89" i="22"/>
  <c r="AC90" i="22"/>
  <c r="AC91" i="22"/>
  <c r="AC92" i="22"/>
  <c r="AC93" i="22"/>
  <c r="AC94" i="22"/>
  <c r="AC95" i="22"/>
  <c r="AC96" i="22"/>
  <c r="AC97" i="22"/>
  <c r="AC98" i="22"/>
  <c r="AC99" i="22"/>
  <c r="AC100" i="22"/>
  <c r="AC101" i="22"/>
  <c r="AC102" i="22"/>
  <c r="AC103" i="22"/>
  <c r="AC104" i="22"/>
  <c r="AC105" i="22"/>
  <c r="AC106" i="22"/>
  <c r="AC107" i="22"/>
  <c r="AC108" i="22"/>
  <c r="AC109" i="22"/>
  <c r="AC110" i="22"/>
  <c r="AC111" i="22"/>
  <c r="AC112" i="22"/>
  <c r="AC113" i="22"/>
  <c r="AC114" i="22"/>
  <c r="AC115" i="22"/>
  <c r="AC116" i="22"/>
  <c r="AC117" i="22"/>
  <c r="AC118" i="22"/>
  <c r="AC119" i="22"/>
  <c r="AC120" i="22"/>
  <c r="AC121" i="22"/>
  <c r="AC122" i="22"/>
  <c r="AC123" i="22"/>
  <c r="AC124" i="22"/>
  <c r="AC125" i="22"/>
  <c r="AC126" i="22"/>
  <c r="AC127" i="22"/>
  <c r="AC128" i="22"/>
  <c r="AC129" i="22"/>
  <c r="AC130" i="22"/>
  <c r="AC131" i="22"/>
  <c r="AC132" i="22"/>
  <c r="AC133" i="22"/>
  <c r="AC134" i="22"/>
  <c r="AC135" i="22"/>
  <c r="AC136" i="22"/>
  <c r="AC137" i="22"/>
  <c r="AC138" i="22"/>
  <c r="AC139" i="22"/>
  <c r="AC140" i="22"/>
  <c r="AC141" i="22"/>
  <c r="AC142" i="22"/>
  <c r="AC143" i="22"/>
  <c r="AC144" i="22"/>
  <c r="AC145" i="22"/>
  <c r="AC146" i="22"/>
  <c r="AC147" i="22"/>
  <c r="AC148" i="22"/>
  <c r="AC149" i="22"/>
  <c r="AC150" i="22"/>
  <c r="AC151" i="22"/>
  <c r="AC152" i="22"/>
  <c r="AC153" i="22"/>
  <c r="AC154" i="22"/>
  <c r="AC155" i="22"/>
  <c r="AC156" i="22"/>
  <c r="AC157" i="22"/>
  <c r="AC158" i="22"/>
  <c r="AC159" i="22"/>
  <c r="AC160" i="22"/>
  <c r="AC161" i="22"/>
  <c r="AC162" i="22"/>
  <c r="AC163" i="22"/>
  <c r="AC164" i="22"/>
  <c r="AC165" i="22"/>
  <c r="AC166" i="22"/>
  <c r="AC167" i="22"/>
  <c r="AC168" i="22"/>
  <c r="AC169" i="22"/>
  <c r="AC170" i="22"/>
  <c r="AC171" i="22"/>
  <c r="AC172" i="22"/>
  <c r="AC173" i="22"/>
  <c r="AC174" i="22"/>
  <c r="AC175" i="22"/>
  <c r="AC176" i="22"/>
  <c r="AC177" i="22"/>
  <c r="AC178" i="22"/>
  <c r="AC179" i="22"/>
  <c r="AC180" i="22"/>
  <c r="AC181" i="22"/>
  <c r="AC182" i="22"/>
  <c r="AC183" i="22"/>
  <c r="AC184" i="22"/>
  <c r="AC185" i="22"/>
  <c r="AC186" i="22"/>
  <c r="AC187" i="22"/>
  <c r="AC188" i="22"/>
  <c r="AC189" i="22"/>
  <c r="AC190" i="22"/>
  <c r="AC191" i="22"/>
  <c r="AC192" i="22"/>
  <c r="AC193" i="22"/>
  <c r="AC194" i="22"/>
  <c r="AC195" i="22"/>
  <c r="AC196" i="22"/>
  <c r="AC197" i="22"/>
  <c r="AC198" i="22"/>
  <c r="AC199" i="22"/>
  <c r="AC200" i="22"/>
  <c r="AC201" i="22"/>
  <c r="AC202" i="22"/>
  <c r="AC203" i="22"/>
  <c r="AC204" i="22"/>
  <c r="AC205" i="22"/>
  <c r="AC206" i="22"/>
  <c r="AC207" i="22"/>
  <c r="AC208" i="22"/>
  <c r="AC209" i="22"/>
  <c r="AC210" i="22"/>
  <c r="AC211" i="22"/>
  <c r="AC212" i="22"/>
  <c r="AC213" i="22"/>
  <c r="AC214" i="22"/>
  <c r="AC215" i="22"/>
  <c r="AC216" i="22"/>
  <c r="AC217" i="22"/>
  <c r="AC218" i="22"/>
  <c r="AC219" i="22"/>
  <c r="AC220" i="22"/>
  <c r="AC221" i="22"/>
  <c r="AC222" i="22"/>
  <c r="AC223" i="22"/>
  <c r="AC224" i="22"/>
  <c r="AC225" i="22"/>
  <c r="AC226" i="22"/>
  <c r="AC227" i="22"/>
  <c r="AC228" i="22"/>
  <c r="AC229" i="22"/>
  <c r="AC230" i="22"/>
  <c r="AC231" i="22"/>
  <c r="AC232" i="22"/>
  <c r="AC233" i="22"/>
  <c r="AC234" i="22"/>
  <c r="AC235" i="22"/>
  <c r="AC236" i="22"/>
  <c r="AC237" i="22"/>
  <c r="AC238" i="22"/>
  <c r="AC239" i="22"/>
  <c r="AC240" i="22"/>
  <c r="AC241" i="22"/>
  <c r="AC242" i="22"/>
  <c r="AC243" i="22"/>
  <c r="AC244" i="22"/>
  <c r="AC245" i="22"/>
  <c r="AC246" i="22"/>
  <c r="AC247" i="22"/>
  <c r="AC248" i="22"/>
  <c r="AC249" i="22"/>
  <c r="AC250" i="22"/>
  <c r="AC251" i="22"/>
  <c r="AC252" i="22"/>
  <c r="AA3" i="22"/>
  <c r="AA4" i="22"/>
  <c r="AA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AA55" i="22"/>
  <c r="AA56" i="22"/>
  <c r="AA57" i="22"/>
  <c r="AA58" i="22"/>
  <c r="AA59" i="22"/>
  <c r="AA60" i="22"/>
  <c r="AA61" i="22"/>
  <c r="AA62" i="22"/>
  <c r="AA63" i="22"/>
  <c r="AA64" i="22"/>
  <c r="AA65" i="22"/>
  <c r="AA66" i="22"/>
  <c r="AA67" i="22"/>
  <c r="AA68" i="22"/>
  <c r="AA69" i="22"/>
  <c r="AA70" i="22"/>
  <c r="AA71" i="22"/>
  <c r="AA72" i="22"/>
  <c r="AA73" i="22"/>
  <c r="AA74" i="22"/>
  <c r="AA75" i="22"/>
  <c r="AA76" i="22"/>
  <c r="AA77" i="22"/>
  <c r="AA78" i="22"/>
  <c r="AA79" i="22"/>
  <c r="AA80" i="22"/>
  <c r="AA81" i="22"/>
  <c r="AA82" i="22"/>
  <c r="AA83" i="22"/>
  <c r="AA84" i="22"/>
  <c r="AA85" i="22"/>
  <c r="AA86" i="22"/>
  <c r="AA87" i="22"/>
  <c r="AA88" i="22"/>
  <c r="AA89" i="22"/>
  <c r="AA90" i="22"/>
  <c r="AA91" i="22"/>
  <c r="AA92" i="22"/>
  <c r="AA93" i="22"/>
  <c r="AA94" i="22"/>
  <c r="AA95" i="22"/>
  <c r="AA96" i="22"/>
  <c r="AA97" i="22"/>
  <c r="AA98" i="22"/>
  <c r="AA99" i="22"/>
  <c r="AA100" i="22"/>
  <c r="AA101" i="22"/>
  <c r="AA102" i="22"/>
  <c r="AA103" i="22"/>
  <c r="AA104" i="22"/>
  <c r="AA105" i="22"/>
  <c r="AA106" i="22"/>
  <c r="AA107" i="22"/>
  <c r="AA108" i="22"/>
  <c r="AA109" i="22"/>
  <c r="AA110" i="22"/>
  <c r="AA111" i="22"/>
  <c r="AA112" i="22"/>
  <c r="AA113" i="22"/>
  <c r="AA114" i="22"/>
  <c r="AA115" i="22"/>
  <c r="AA116" i="22"/>
  <c r="AA117" i="22"/>
  <c r="AA118" i="22"/>
  <c r="AA119" i="22"/>
  <c r="AA120" i="22"/>
  <c r="AA121" i="22"/>
  <c r="AA122" i="22"/>
  <c r="AA123" i="22"/>
  <c r="AA124" i="22"/>
  <c r="AA125" i="22"/>
  <c r="AA126" i="22"/>
  <c r="AA127" i="22"/>
  <c r="AA128" i="22"/>
  <c r="AA129" i="22"/>
  <c r="AA130" i="22"/>
  <c r="AA131" i="22"/>
  <c r="AA132" i="22"/>
  <c r="AA133" i="22"/>
  <c r="AA134" i="22"/>
  <c r="AA135" i="22"/>
  <c r="AA136" i="22"/>
  <c r="AA137" i="22"/>
  <c r="AA138" i="22"/>
  <c r="AA139" i="22"/>
  <c r="AA140" i="22"/>
  <c r="AA141" i="22"/>
  <c r="AA142" i="22"/>
  <c r="AA143" i="22"/>
  <c r="AA144" i="22"/>
  <c r="AA145" i="22"/>
  <c r="AA146" i="22"/>
  <c r="AA147" i="22"/>
  <c r="AA148" i="22"/>
  <c r="AA149" i="22"/>
  <c r="AA150" i="22"/>
  <c r="AA151" i="22"/>
  <c r="AA152" i="22"/>
  <c r="AA153" i="22"/>
  <c r="AA154" i="22"/>
  <c r="AA155" i="22"/>
  <c r="AA156" i="22"/>
  <c r="AA157" i="22"/>
  <c r="AA158" i="22"/>
  <c r="AA159" i="22"/>
  <c r="AA160" i="22"/>
  <c r="AA161" i="22"/>
  <c r="AA162" i="22"/>
  <c r="AA163" i="22"/>
  <c r="AA164" i="22"/>
  <c r="AA165" i="22"/>
  <c r="AA166" i="22"/>
  <c r="AA167" i="22"/>
  <c r="AA168" i="22"/>
  <c r="AA169" i="22"/>
  <c r="AA170" i="22"/>
  <c r="AA171" i="22"/>
  <c r="AA172" i="22"/>
  <c r="AA173" i="22"/>
  <c r="AA174" i="22"/>
  <c r="AA175" i="22"/>
  <c r="AA176" i="22"/>
  <c r="AA177" i="22"/>
  <c r="AA178" i="22"/>
  <c r="AA179" i="22"/>
  <c r="AA180" i="22"/>
  <c r="AA181" i="22"/>
  <c r="AA182" i="22"/>
  <c r="AA183" i="22"/>
  <c r="AA184" i="22"/>
  <c r="AA185" i="22"/>
  <c r="AA186" i="22"/>
  <c r="AA187" i="22"/>
  <c r="AA188" i="22"/>
  <c r="AA189" i="22"/>
  <c r="AA190" i="22"/>
  <c r="AA191" i="22"/>
  <c r="AA192" i="22"/>
  <c r="AA193" i="22"/>
  <c r="AA194" i="22"/>
  <c r="AA195" i="22"/>
  <c r="AA196" i="22"/>
  <c r="AA197" i="22"/>
  <c r="AA198" i="22"/>
  <c r="AA199" i="22"/>
  <c r="AA200" i="22"/>
  <c r="AA201" i="22"/>
  <c r="AA202" i="22"/>
  <c r="AA203" i="22"/>
  <c r="AA204" i="22"/>
  <c r="AA205" i="22"/>
  <c r="AA206" i="22"/>
  <c r="AA207" i="22"/>
  <c r="AA208" i="22"/>
  <c r="AA209" i="22"/>
  <c r="AA210" i="22"/>
  <c r="AA211" i="22"/>
  <c r="AA212" i="22"/>
  <c r="AA213" i="22"/>
  <c r="AA214" i="22"/>
  <c r="AA215" i="22"/>
  <c r="AA216" i="22"/>
  <c r="AA217" i="22"/>
  <c r="AA218" i="22"/>
  <c r="AA219" i="22"/>
  <c r="AA220" i="22"/>
  <c r="AA221" i="22"/>
  <c r="AA222" i="22"/>
  <c r="AA223" i="22"/>
  <c r="AA224" i="22"/>
  <c r="AA225" i="22"/>
  <c r="AA226" i="22"/>
  <c r="AA227" i="22"/>
  <c r="AA228" i="22"/>
  <c r="AA229" i="22"/>
  <c r="AA230" i="22"/>
  <c r="AA231" i="22"/>
  <c r="AA232" i="22"/>
  <c r="AA233" i="22"/>
  <c r="AA234" i="22"/>
  <c r="AA235" i="22"/>
  <c r="AA236" i="22"/>
  <c r="AA237" i="22"/>
  <c r="AA238" i="22"/>
  <c r="AA239" i="22"/>
  <c r="AA240" i="22"/>
  <c r="AA241" i="22"/>
  <c r="AA242" i="22"/>
  <c r="AA243" i="22"/>
  <c r="AA244" i="22"/>
  <c r="AA245" i="22"/>
  <c r="AA246" i="22"/>
  <c r="AA247" i="22"/>
  <c r="AA248" i="22"/>
  <c r="AA249" i="22"/>
  <c r="AA250" i="22"/>
  <c r="AA251" i="22"/>
  <c r="AA252" i="22"/>
  <c r="AA2" i="22"/>
  <c r="W3" i="22"/>
  <c r="W4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2" i="22"/>
  <c r="W23" i="22"/>
  <c r="W24" i="22"/>
  <c r="W25" i="22"/>
  <c r="W27" i="22"/>
  <c r="W28" i="22"/>
  <c r="W29" i="22"/>
  <c r="W31" i="22"/>
  <c r="W32" i="22"/>
  <c r="W33" i="22"/>
  <c r="W34" i="22"/>
  <c r="W35" i="22"/>
  <c r="W36" i="22"/>
  <c r="W37" i="22"/>
  <c r="W38" i="22"/>
  <c r="W40" i="22"/>
  <c r="W41" i="22"/>
  <c r="W42" i="22"/>
  <c r="W43" i="22"/>
  <c r="W44" i="22"/>
  <c r="W46" i="22"/>
  <c r="W48" i="22"/>
  <c r="W50" i="22"/>
  <c r="W51" i="22"/>
  <c r="W52" i="22"/>
  <c r="W53" i="22"/>
  <c r="W54" i="22"/>
  <c r="W56" i="22"/>
  <c r="W60" i="22"/>
  <c r="W61" i="22"/>
  <c r="W62" i="22"/>
  <c r="W64" i="22"/>
  <c r="W65" i="22"/>
  <c r="W67" i="22"/>
  <c r="W77" i="22"/>
  <c r="W78" i="22"/>
  <c r="W79" i="22"/>
  <c r="W80" i="22"/>
  <c r="W81" i="22"/>
  <c r="W82" i="22"/>
  <c r="W84" i="22"/>
  <c r="W85" i="22"/>
  <c r="W86" i="22"/>
  <c r="W87" i="22"/>
  <c r="W88" i="22"/>
  <c r="W89" i="22"/>
  <c r="W90" i="22"/>
  <c r="W91" i="22"/>
  <c r="W92" i="22"/>
  <c r="W96" i="22"/>
  <c r="W98" i="22"/>
  <c r="W99" i="22"/>
  <c r="W100" i="22"/>
  <c r="W101" i="22"/>
  <c r="W102" i="22"/>
  <c r="W103" i="22"/>
  <c r="W104" i="22"/>
  <c r="W105" i="22"/>
  <c r="W106" i="22"/>
  <c r="W107" i="22"/>
  <c r="W109" i="22"/>
  <c r="W110" i="22"/>
  <c r="W111" i="22"/>
  <c r="W112" i="22"/>
  <c r="W113" i="22"/>
  <c r="W115" i="22"/>
  <c r="W119" i="22"/>
  <c r="W120" i="22"/>
  <c r="W123" i="22"/>
  <c r="W127" i="22"/>
  <c r="W128" i="22"/>
  <c r="W129" i="22"/>
  <c r="W130" i="22"/>
  <c r="W135" i="22"/>
  <c r="W136" i="22"/>
  <c r="W137" i="22"/>
  <c r="W138" i="22"/>
  <c r="W142" i="22"/>
  <c r="W143" i="22"/>
  <c r="W144" i="22"/>
  <c r="W145" i="22"/>
  <c r="W146" i="22"/>
  <c r="W147" i="22"/>
  <c r="W151" i="22"/>
  <c r="W152" i="22"/>
  <c r="W153" i="22"/>
  <c r="W154" i="22"/>
  <c r="W155" i="22"/>
  <c r="W156" i="22"/>
  <c r="W157" i="22"/>
  <c r="W159" i="22"/>
  <c r="W160" i="22"/>
  <c r="W161" i="22"/>
  <c r="W162" i="22"/>
  <c r="W163" i="22"/>
  <c r="W164" i="22"/>
  <c r="W165" i="22"/>
  <c r="W166" i="22"/>
  <c r="W167" i="22"/>
  <c r="W168" i="22"/>
  <c r="W172" i="22"/>
  <c r="W173" i="22"/>
  <c r="W174" i="22"/>
  <c r="W175" i="22"/>
  <c r="W176" i="22"/>
  <c r="W177" i="22"/>
  <c r="W178" i="22"/>
  <c r="W179" i="22"/>
  <c r="W180" i="22"/>
  <c r="W181" i="22"/>
  <c r="W183" i="22"/>
  <c r="W184" i="22"/>
  <c r="W185" i="22"/>
  <c r="W186" i="22"/>
  <c r="W187" i="22"/>
  <c r="W188" i="22"/>
  <c r="W189" i="22"/>
  <c r="W190" i="22"/>
  <c r="W191" i="22"/>
  <c r="W192" i="22"/>
  <c r="W193" i="22"/>
  <c r="W194" i="22"/>
  <c r="W195" i="22"/>
  <c r="W196" i="22"/>
  <c r="W197" i="22"/>
  <c r="W198" i="22"/>
  <c r="W199" i="22"/>
  <c r="W200" i="22"/>
  <c r="W201" i="22"/>
  <c r="W202" i="22"/>
  <c r="W203" i="22"/>
  <c r="W204" i="22"/>
  <c r="W205" i="22"/>
  <c r="W206" i="22"/>
  <c r="W207" i="22"/>
  <c r="W208" i="22"/>
  <c r="W209" i="22"/>
  <c r="W210" i="22"/>
  <c r="W211" i="22"/>
  <c r="W212" i="22"/>
  <c r="W213" i="22"/>
  <c r="W214" i="22"/>
  <c r="W215" i="22"/>
  <c r="W216" i="22"/>
  <c r="W217" i="22"/>
  <c r="W218" i="22"/>
  <c r="W219" i="22"/>
  <c r="W220" i="22"/>
  <c r="W221" i="22"/>
  <c r="W222" i="22"/>
  <c r="W223" i="22"/>
  <c r="W224" i="22"/>
  <c r="W225" i="22"/>
  <c r="W226" i="22"/>
  <c r="W227" i="22"/>
  <c r="W228" i="22"/>
  <c r="W229" i="22"/>
  <c r="W230" i="22"/>
  <c r="W231" i="22"/>
  <c r="W232" i="22"/>
  <c r="W233" i="22"/>
  <c r="W234" i="22"/>
  <c r="W235" i="22"/>
  <c r="W236" i="22"/>
  <c r="W237" i="22"/>
  <c r="W238" i="22"/>
  <c r="W239" i="22"/>
  <c r="W240" i="22"/>
  <c r="W241" i="22"/>
  <c r="W242" i="22"/>
  <c r="W243" i="22"/>
  <c r="W244" i="22"/>
  <c r="W245" i="22"/>
  <c r="W246" i="22"/>
  <c r="W247" i="22"/>
  <c r="W248" i="22"/>
  <c r="W249" i="22"/>
  <c r="W250" i="22"/>
  <c r="W251" i="22"/>
  <c r="W252" i="22"/>
  <c r="W2" i="22"/>
  <c r="U3" i="22" l="1"/>
  <c r="U4" i="22"/>
  <c r="U5" i="22"/>
  <c r="U8" i="22"/>
  <c r="U9" i="22"/>
  <c r="U10" i="22"/>
  <c r="U11" i="22"/>
  <c r="U13" i="22"/>
  <c r="U14" i="22"/>
  <c r="U15" i="22"/>
  <c r="U16" i="22"/>
  <c r="U17" i="22"/>
  <c r="U19" i="22"/>
  <c r="U20" i="22"/>
  <c r="U22" i="22"/>
  <c r="U23" i="22"/>
  <c r="U24" i="22"/>
  <c r="U25" i="22"/>
  <c r="U26" i="22"/>
  <c r="U27" i="22"/>
  <c r="U29" i="22"/>
  <c r="U31" i="22"/>
  <c r="U33" i="22"/>
  <c r="U34" i="22"/>
  <c r="U35" i="22"/>
  <c r="U37" i="22"/>
  <c r="U40" i="22"/>
  <c r="U41" i="22"/>
  <c r="U43" i="22"/>
  <c r="U46" i="22"/>
  <c r="U48" i="22"/>
  <c r="U51" i="22"/>
  <c r="U52" i="22"/>
  <c r="U53" i="22"/>
  <c r="U54" i="22"/>
  <c r="U56" i="22"/>
  <c r="U60" i="22"/>
  <c r="U61" i="22"/>
  <c r="U62" i="22"/>
  <c r="U64" i="22"/>
  <c r="U65" i="22"/>
  <c r="U67" i="22"/>
  <c r="U77" i="22"/>
  <c r="U78" i="22"/>
  <c r="U79" i="22"/>
  <c r="U80" i="22"/>
  <c r="U81" i="22"/>
  <c r="U82" i="22"/>
  <c r="U84" i="22"/>
  <c r="U85" i="22"/>
  <c r="U86" i="22"/>
  <c r="U87" i="22"/>
  <c r="U88" i="22"/>
  <c r="U89" i="22"/>
  <c r="U90" i="22"/>
  <c r="U91" i="22"/>
  <c r="U92" i="22"/>
  <c r="U96" i="22"/>
  <c r="U98" i="22"/>
  <c r="U99" i="22"/>
  <c r="U100" i="22"/>
  <c r="U101" i="22"/>
  <c r="U102" i="22"/>
  <c r="U103" i="22"/>
  <c r="U104" i="22"/>
  <c r="U105" i="22"/>
  <c r="U106" i="22"/>
  <c r="U107" i="22"/>
  <c r="U109" i="22"/>
  <c r="U110" i="22"/>
  <c r="U111" i="22"/>
  <c r="U112" i="22"/>
  <c r="U113" i="22"/>
  <c r="U115" i="22"/>
  <c r="U119" i="22"/>
  <c r="U120" i="22"/>
  <c r="U123" i="22"/>
  <c r="U127" i="22"/>
  <c r="U128" i="22"/>
  <c r="U129" i="22"/>
  <c r="U130" i="22"/>
  <c r="U135" i="22"/>
  <c r="U136" i="22"/>
  <c r="U137" i="22"/>
  <c r="U138" i="22"/>
  <c r="U142" i="22"/>
  <c r="U143" i="22"/>
  <c r="U144" i="22"/>
  <c r="U145" i="22"/>
  <c r="U146" i="22"/>
  <c r="U147" i="22"/>
  <c r="U151" i="22"/>
  <c r="U152" i="22"/>
  <c r="U153" i="22"/>
  <c r="U154" i="22"/>
  <c r="U155" i="22"/>
  <c r="U156" i="22"/>
  <c r="U157" i="22"/>
  <c r="U159" i="22"/>
  <c r="U160" i="22"/>
  <c r="U161" i="22"/>
  <c r="U162" i="22"/>
  <c r="U163" i="22"/>
  <c r="U164" i="22"/>
  <c r="U165" i="22"/>
  <c r="U166" i="22"/>
  <c r="U167" i="22"/>
  <c r="U168" i="22"/>
  <c r="U172" i="22"/>
  <c r="U173" i="22"/>
  <c r="U174" i="22"/>
  <c r="U175" i="22"/>
  <c r="U176" i="22"/>
  <c r="U177" i="22"/>
  <c r="U178" i="22"/>
  <c r="U179" i="22"/>
  <c r="U180" i="22"/>
  <c r="U181" i="22"/>
  <c r="U183" i="22"/>
  <c r="U184" i="22"/>
  <c r="U185" i="22"/>
  <c r="U186" i="22"/>
  <c r="U187" i="22"/>
  <c r="U188" i="22"/>
  <c r="U189" i="22"/>
  <c r="U190" i="22"/>
  <c r="U191" i="22"/>
  <c r="U192" i="22"/>
  <c r="U193" i="22"/>
  <c r="U194" i="22"/>
  <c r="U195" i="22"/>
  <c r="U196" i="22"/>
  <c r="U197" i="22"/>
  <c r="U198" i="22"/>
  <c r="U199" i="22"/>
  <c r="U200" i="22"/>
  <c r="U201" i="22"/>
  <c r="U202" i="22"/>
  <c r="U203" i="22"/>
  <c r="U204" i="22"/>
  <c r="U205" i="22"/>
  <c r="U206" i="22"/>
  <c r="U207" i="22"/>
  <c r="U208" i="22"/>
  <c r="U209" i="22"/>
  <c r="U210" i="22"/>
  <c r="U211" i="22"/>
  <c r="U212" i="22"/>
  <c r="U213" i="22"/>
  <c r="U214" i="22"/>
  <c r="U215" i="22"/>
  <c r="U216" i="22"/>
  <c r="U217" i="22"/>
  <c r="U218" i="22"/>
  <c r="U219" i="22"/>
  <c r="U220" i="22"/>
  <c r="U221" i="22"/>
  <c r="U222" i="22"/>
  <c r="U223" i="22"/>
  <c r="U224" i="22"/>
  <c r="U225" i="22"/>
  <c r="U226" i="22"/>
  <c r="U227" i="22"/>
  <c r="U228" i="22"/>
  <c r="U229" i="22"/>
  <c r="U230" i="22"/>
  <c r="U231" i="22"/>
  <c r="U232" i="22"/>
  <c r="U233" i="22"/>
  <c r="U234" i="22"/>
  <c r="U235" i="22"/>
  <c r="U236" i="22"/>
  <c r="U237" i="22"/>
  <c r="U238" i="22"/>
  <c r="U239" i="22"/>
  <c r="U240" i="22"/>
  <c r="U241" i="22"/>
  <c r="U242" i="22"/>
  <c r="U243" i="22"/>
  <c r="U244" i="22"/>
  <c r="U245" i="22"/>
  <c r="U246" i="22"/>
  <c r="U247" i="22"/>
  <c r="U248" i="22"/>
  <c r="U249" i="22"/>
  <c r="U250" i="22"/>
  <c r="U251" i="22"/>
  <c r="U252" i="22"/>
  <c r="BV252" i="22" l="1"/>
  <c r="BR252" i="22"/>
  <c r="AT252" i="22"/>
  <c r="AD252" i="22"/>
  <c r="BV251" i="22"/>
  <c r="BR251" i="22"/>
  <c r="AT251" i="22"/>
  <c r="AD251" i="22"/>
  <c r="BV250" i="22"/>
  <c r="BR250" i="22"/>
  <c r="AT250" i="22"/>
  <c r="AD250" i="22"/>
  <c r="Y250" i="22"/>
  <c r="BV249" i="22"/>
  <c r="BR249" i="22"/>
  <c r="AT249" i="22"/>
  <c r="AD249" i="22"/>
  <c r="BV248" i="22"/>
  <c r="BR248" i="22"/>
  <c r="AT248" i="22"/>
  <c r="AD248" i="22"/>
  <c r="Y248" i="22"/>
  <c r="R248" i="22"/>
  <c r="BV247" i="22"/>
  <c r="BR247" i="22"/>
  <c r="AT247" i="22"/>
  <c r="AD247" i="22"/>
  <c r="R247" i="22"/>
  <c r="BV246" i="22"/>
  <c r="BR246" i="22"/>
  <c r="AT246" i="22"/>
  <c r="AD246" i="22"/>
  <c r="Y246" i="22"/>
  <c r="BV245" i="22"/>
  <c r="BR245" i="22"/>
  <c r="AT245" i="22"/>
  <c r="AD245" i="22"/>
  <c r="Y245" i="22"/>
  <c r="R245" i="22"/>
  <c r="BV244" i="22"/>
  <c r="BR244" i="22"/>
  <c r="AT244" i="22"/>
  <c r="AD244" i="22"/>
  <c r="Y244" i="22"/>
  <c r="R244" i="22"/>
  <c r="BV243" i="22"/>
  <c r="BR243" i="22"/>
  <c r="AT243" i="22"/>
  <c r="AD243" i="22"/>
  <c r="Y243" i="22"/>
  <c r="R243" i="22"/>
  <c r="BV242" i="22"/>
  <c r="BR242" i="22"/>
  <c r="AT242" i="22"/>
  <c r="AD242" i="22"/>
  <c r="Y242" i="22"/>
  <c r="R242" i="22"/>
  <c r="BV241" i="22"/>
  <c r="BR241" i="22"/>
  <c r="AT241" i="22"/>
  <c r="AD241" i="22"/>
  <c r="BV240" i="22"/>
  <c r="BR240" i="22"/>
  <c r="AT240" i="22"/>
  <c r="AD240" i="22"/>
  <c r="BV239" i="22"/>
  <c r="BR239" i="22"/>
  <c r="AT239" i="22"/>
  <c r="AD239" i="22"/>
  <c r="BV238" i="22"/>
  <c r="BR238" i="22"/>
  <c r="AT238" i="22"/>
  <c r="AD238" i="22"/>
  <c r="Y238" i="22"/>
  <c r="R238" i="22"/>
  <c r="BV237" i="22"/>
  <c r="BR237" i="22"/>
  <c r="AT237" i="22"/>
  <c r="AD237" i="22"/>
  <c r="Y237" i="22"/>
  <c r="R237" i="22"/>
  <c r="BV236" i="22"/>
  <c r="BR236" i="22"/>
  <c r="AT236" i="22"/>
  <c r="AD236" i="22"/>
  <c r="Y236" i="22"/>
  <c r="R236" i="22"/>
  <c r="BV235" i="22"/>
  <c r="BR235" i="22"/>
  <c r="AT235" i="22"/>
  <c r="AD235" i="22"/>
  <c r="R235" i="22"/>
  <c r="BV234" i="22"/>
  <c r="BR234" i="22"/>
  <c r="AT234" i="22"/>
  <c r="AD234" i="22"/>
  <c r="Y234" i="22"/>
  <c r="BV233" i="22"/>
  <c r="BR233" i="22"/>
  <c r="AT233" i="22"/>
  <c r="AD233" i="22"/>
  <c r="Y233" i="22"/>
  <c r="R233" i="22"/>
  <c r="BV232" i="22"/>
  <c r="BR232" i="22"/>
  <c r="AT232" i="22"/>
  <c r="AD232" i="22"/>
  <c r="Y232" i="22"/>
  <c r="R232" i="22"/>
  <c r="BV231" i="22"/>
  <c r="BR231" i="22"/>
  <c r="AT231" i="22"/>
  <c r="AD231" i="22"/>
  <c r="Y231" i="22"/>
  <c r="R231" i="22"/>
  <c r="BV230" i="22"/>
  <c r="BR230" i="22"/>
  <c r="AT230" i="22"/>
  <c r="AD230" i="22"/>
  <c r="Y230" i="22"/>
  <c r="R230" i="22"/>
  <c r="BV229" i="22"/>
  <c r="BR229" i="22"/>
  <c r="AT229" i="22"/>
  <c r="AD229" i="22"/>
  <c r="BV228" i="22"/>
  <c r="BR228" i="22"/>
  <c r="AT228" i="22"/>
  <c r="AD228" i="22"/>
  <c r="BV227" i="22"/>
  <c r="BR227" i="22"/>
  <c r="AT227" i="22"/>
  <c r="AD227" i="22"/>
  <c r="BV226" i="22"/>
  <c r="BR226" i="22"/>
  <c r="AT226" i="22"/>
  <c r="AD226" i="22"/>
  <c r="Y226" i="22"/>
  <c r="R226" i="22"/>
  <c r="BV225" i="22"/>
  <c r="BR225" i="22"/>
  <c r="AT225" i="22"/>
  <c r="AD225" i="22"/>
  <c r="Y225" i="22"/>
  <c r="R225" i="22"/>
  <c r="BV224" i="22"/>
  <c r="BR224" i="22"/>
  <c r="AT224" i="22"/>
  <c r="AD224" i="22"/>
  <c r="Y224" i="22"/>
  <c r="R224" i="22"/>
  <c r="BV223" i="22"/>
  <c r="BR223" i="22"/>
  <c r="AT223" i="22"/>
  <c r="AD223" i="22"/>
  <c r="R223" i="22"/>
  <c r="BV222" i="22"/>
  <c r="BR222" i="22"/>
  <c r="AT222" i="22"/>
  <c r="AD222" i="22"/>
  <c r="Y222" i="22"/>
  <c r="R222" i="22"/>
  <c r="BV221" i="22"/>
  <c r="BR221" i="22"/>
  <c r="AT221" i="22"/>
  <c r="AD221" i="22"/>
  <c r="Y221" i="22"/>
  <c r="R221" i="22"/>
  <c r="BV220" i="22"/>
  <c r="BR220" i="22"/>
  <c r="AT220" i="22"/>
  <c r="AD220" i="22"/>
  <c r="Y220" i="22"/>
  <c r="R220" i="22"/>
  <c r="BV219" i="22"/>
  <c r="BR219" i="22"/>
  <c r="AT219" i="22"/>
  <c r="AD219" i="22"/>
  <c r="Y219" i="22"/>
  <c r="R219" i="22"/>
  <c r="BV218" i="22"/>
  <c r="BR218" i="22"/>
  <c r="AT218" i="22"/>
  <c r="AD218" i="22"/>
  <c r="Y218" i="22"/>
  <c r="R218" i="22"/>
  <c r="R252" i="22" l="1"/>
  <c r="Y252" i="22"/>
  <c r="Y251" i="22"/>
  <c r="R251" i="22"/>
  <c r="AU251" i="22"/>
  <c r="R229" i="22"/>
  <c r="Y229" i="22"/>
  <c r="Y228" i="22"/>
  <c r="R228" i="22"/>
  <c r="AU228" i="22"/>
  <c r="R239" i="22"/>
  <c r="Y240" i="22"/>
  <c r="R240" i="22"/>
  <c r="AU240" i="22"/>
  <c r="Y227" i="22"/>
  <c r="AE227" i="22" s="1"/>
  <c r="R227" i="22"/>
  <c r="R241" i="22"/>
  <c r="AU241" i="22"/>
  <c r="Y241" i="22"/>
  <c r="AE241" i="22" s="1"/>
  <c r="Y239" i="22"/>
  <c r="AU223" i="22"/>
  <c r="R234" i="22"/>
  <c r="AU235" i="22"/>
  <c r="R246" i="22"/>
  <c r="Y249" i="22"/>
  <c r="R250" i="22"/>
  <c r="AE234" i="22"/>
  <c r="AE246" i="22"/>
  <c r="Y223" i="22"/>
  <c r="Y235" i="22"/>
  <c r="Y247" i="22"/>
  <c r="AE247" i="22" s="1"/>
  <c r="AU249" i="22"/>
  <c r="R249" i="22"/>
  <c r="AE225" i="22"/>
  <c r="AU247" i="22"/>
  <c r="AU250" i="22"/>
  <c r="AU225" i="22"/>
  <c r="AE231" i="22"/>
  <c r="AE221" i="22"/>
  <c r="AE219" i="22"/>
  <c r="AE242" i="22"/>
  <c r="AE220" i="22"/>
  <c r="AE224" i="22"/>
  <c r="AE243" i="22"/>
  <c r="AU244" i="22"/>
  <c r="AE244" i="22"/>
  <c r="AE233" i="22"/>
  <c r="AE237" i="22"/>
  <c r="AU230" i="22"/>
  <c r="AU226" i="22"/>
  <c r="AE230" i="22"/>
  <c r="AE238" i="22"/>
  <c r="AE245" i="22"/>
  <c r="AU220" i="22"/>
  <c r="AU221" i="22"/>
  <c r="AU245" i="22"/>
  <c r="AU238" i="22"/>
  <c r="AE248" i="22"/>
  <c r="AU218" i="22"/>
  <c r="AU219" i="22"/>
  <c r="AU242" i="22"/>
  <c r="AU243" i="22"/>
  <c r="AU232" i="22"/>
  <c r="AU233" i="22"/>
  <c r="AU224" i="22"/>
  <c r="AE218" i="22"/>
  <c r="AU222" i="22"/>
  <c r="AE232" i="22"/>
  <c r="AU236" i="22"/>
  <c r="AU237" i="22"/>
  <c r="AU248" i="22"/>
  <c r="AE222" i="22"/>
  <c r="AE236" i="22"/>
  <c r="AE226" i="22"/>
  <c r="AU231" i="22"/>
  <c r="AE250" i="22"/>
  <c r="BV206" i="22"/>
  <c r="BV213" i="22"/>
  <c r="BV214" i="22"/>
  <c r="BV215" i="22"/>
  <c r="BV216" i="22"/>
  <c r="BV205" i="22"/>
  <c r="BV217" i="22"/>
  <c r="BV210" i="22"/>
  <c r="BV212" i="22"/>
  <c r="BR205" i="22"/>
  <c r="BR206" i="22"/>
  <c r="BR214" i="22"/>
  <c r="BR216" i="22"/>
  <c r="BR217" i="22"/>
  <c r="BR213" i="22"/>
  <c r="BR212" i="22"/>
  <c r="AT205" i="22"/>
  <c r="AT206" i="22"/>
  <c r="AT208" i="22"/>
  <c r="AT214" i="22"/>
  <c r="AT211" i="22"/>
  <c r="AT212" i="22"/>
  <c r="AT215" i="22"/>
  <c r="AD205" i="22"/>
  <c r="AD206" i="22"/>
  <c r="AD211" i="22"/>
  <c r="AD210" i="22"/>
  <c r="AD212" i="22"/>
  <c r="AD213" i="22"/>
  <c r="AD214" i="22"/>
  <c r="AD217" i="22"/>
  <c r="R210" i="22"/>
  <c r="R216" i="22"/>
  <c r="BR215" i="22"/>
  <c r="R213" i="22"/>
  <c r="R212" i="22"/>
  <c r="BV211" i="22"/>
  <c r="BR211" i="22"/>
  <c r="Y211" i="22"/>
  <c r="BR210" i="22"/>
  <c r="Y210" i="22"/>
  <c r="BV209" i="22"/>
  <c r="BR209" i="22"/>
  <c r="AD209" i="22"/>
  <c r="Y209" i="22"/>
  <c r="R209" i="22"/>
  <c r="BV208" i="22"/>
  <c r="BR208" i="22"/>
  <c r="AD208" i="22"/>
  <c r="Y208" i="22"/>
  <c r="R208" i="22"/>
  <c r="BV207" i="22"/>
  <c r="BR207" i="22"/>
  <c r="AT207" i="22"/>
  <c r="AD207" i="22"/>
  <c r="Y207" i="22"/>
  <c r="AT159" i="22"/>
  <c r="CF244" i="22" l="1"/>
  <c r="CF225" i="22"/>
  <c r="AE228" i="22"/>
  <c r="CF228" i="22" s="1"/>
  <c r="AE229" i="22"/>
  <c r="AE252" i="22"/>
  <c r="CF220" i="22"/>
  <c r="CF224" i="22"/>
  <c r="AU246" i="22"/>
  <c r="CF246" i="22" s="1"/>
  <c r="CF238" i="22"/>
  <c r="AU234" i="22"/>
  <c r="CF234" i="22" s="1"/>
  <c r="AE249" i="22"/>
  <c r="CF249" i="22" s="1"/>
  <c r="AE235" i="22"/>
  <c r="CF235" i="22" s="1"/>
  <c r="AE239" i="22"/>
  <c r="AU227" i="22"/>
  <c r="CF227" i="22" s="1"/>
  <c r="AU229" i="22"/>
  <c r="AE251" i="22"/>
  <c r="CF251" i="22" s="1"/>
  <c r="AE223" i="22"/>
  <c r="CF223" i="22" s="1"/>
  <c r="AE240" i="22"/>
  <c r="CF240" i="22" s="1"/>
  <c r="AU252" i="22"/>
  <c r="AU239" i="22"/>
  <c r="CF231" i="22"/>
  <c r="CF243" i="22"/>
  <c r="CF230" i="22"/>
  <c r="CF233" i="22"/>
  <c r="CF218" i="22"/>
  <c r="CF226" i="22"/>
  <c r="CF232" i="22"/>
  <c r="CF245" i="22"/>
  <c r="CF237" i="22"/>
  <c r="CF242" i="22"/>
  <c r="CF247" i="22"/>
  <c r="CF219" i="22"/>
  <c r="CF221" i="22"/>
  <c r="CF241" i="22"/>
  <c r="CF250" i="22"/>
  <c r="CF222" i="22"/>
  <c r="CF236" i="22"/>
  <c r="CF248" i="22"/>
  <c r="AT216" i="22"/>
  <c r="AT213" i="22"/>
  <c r="AU208" i="22"/>
  <c r="AT210" i="22"/>
  <c r="AU209" i="22"/>
  <c r="AT217" i="22"/>
  <c r="AU216" i="22"/>
  <c r="AT209" i="22"/>
  <c r="AE207" i="22"/>
  <c r="AD216" i="22"/>
  <c r="AD215" i="22"/>
  <c r="AE211" i="22"/>
  <c r="AU207" i="22"/>
  <c r="R205" i="22"/>
  <c r="Y212" i="22"/>
  <c r="Y215" i="22"/>
  <c r="R214" i="22"/>
  <c r="R215" i="22"/>
  <c r="Y206" i="22"/>
  <c r="R206" i="22"/>
  <c r="Y217" i="22"/>
  <c r="R217" i="22"/>
  <c r="Y213" i="22"/>
  <c r="Y214" i="22"/>
  <c r="Y205" i="22"/>
  <c r="AE209" i="22"/>
  <c r="AE208" i="22"/>
  <c r="AU210" i="22"/>
  <c r="Y216" i="22"/>
  <c r="AE216" i="22" s="1"/>
  <c r="R207" i="22"/>
  <c r="AE210" i="22"/>
  <c r="R211" i="22"/>
  <c r="CF229" i="22" l="1"/>
  <c r="CF252" i="22"/>
  <c r="CF239" i="22"/>
  <c r="CF209" i="22"/>
  <c r="AU212" i="22"/>
  <c r="AE206" i="22"/>
  <c r="CF210" i="22"/>
  <c r="AE215" i="22"/>
  <c r="CF208" i="22"/>
  <c r="CF207" i="22"/>
  <c r="AE213" i="22"/>
  <c r="AU211" i="22"/>
  <c r="CF211" i="22" s="1"/>
  <c r="AE212" i="22"/>
  <c r="CF216" i="22"/>
  <c r="AU213" i="22"/>
  <c r="AU215" i="22"/>
  <c r="AE205" i="22"/>
  <c r="AU205" i="22"/>
  <c r="AU214" i="22"/>
  <c r="AU217" i="22"/>
  <c r="AU206" i="22"/>
  <c r="AE217" i="22"/>
  <c r="AE214" i="22"/>
  <c r="AU28" i="22"/>
  <c r="AU77" i="22"/>
  <c r="AU105" i="22"/>
  <c r="AU190" i="22"/>
  <c r="AU184" i="22"/>
  <c r="AU119" i="22"/>
  <c r="AU76" i="22"/>
  <c r="AU46" i="22"/>
  <c r="AU40" i="22"/>
  <c r="AU5" i="22"/>
  <c r="AU163" i="22"/>
  <c r="AU118" i="22"/>
  <c r="AU57" i="22"/>
  <c r="AU198" i="22"/>
  <c r="AU41" i="22"/>
  <c r="AU42" i="22"/>
  <c r="AU104" i="22"/>
  <c r="AU90" i="22"/>
  <c r="AU63" i="22"/>
  <c r="AU6" i="22"/>
  <c r="AU91" i="22"/>
  <c r="AU199" i="22"/>
  <c r="AU83" i="22"/>
  <c r="AU43" i="22"/>
  <c r="AU56" i="22"/>
  <c r="AU189" i="22"/>
  <c r="AU33" i="22"/>
  <c r="AU141" i="22"/>
  <c r="AU99" i="22"/>
  <c r="AU34" i="22"/>
  <c r="AU201" i="22"/>
  <c r="AU187" i="22"/>
  <c r="AU59" i="22"/>
  <c r="AU45" i="22"/>
  <c r="AU31" i="22"/>
  <c r="AU17" i="22"/>
  <c r="AU3" i="22"/>
  <c r="AU50" i="22"/>
  <c r="AU185" i="22"/>
  <c r="AU171" i="22"/>
  <c r="AU155" i="22"/>
  <c r="AU127" i="22"/>
  <c r="AU113" i="22"/>
  <c r="AU70" i="22"/>
  <c r="AU29" i="22"/>
  <c r="AU15" i="22"/>
  <c r="AU55" i="22"/>
  <c r="AU39" i="22"/>
  <c r="AU135" i="22"/>
  <c r="AU162" i="22"/>
  <c r="AU149" i="22"/>
  <c r="AU62" i="22"/>
  <c r="AU177" i="22"/>
  <c r="AU44" i="22"/>
  <c r="AU69" i="22"/>
  <c r="AU14" i="22"/>
  <c r="AU54" i="22"/>
  <c r="AU52" i="22"/>
  <c r="AU38" i="22"/>
  <c r="AU148" i="22"/>
  <c r="AU19" i="22"/>
  <c r="AU20" i="22"/>
  <c r="AU134" i="22"/>
  <c r="AU176" i="22"/>
  <c r="AU53" i="22"/>
  <c r="AU47" i="22"/>
  <c r="AU173" i="22"/>
  <c r="AU159" i="22"/>
  <c r="AU143" i="22"/>
  <c r="AU129" i="22"/>
  <c r="AU115" i="22"/>
  <c r="AU101" i="22"/>
  <c r="AU87" i="22"/>
  <c r="AU200" i="22"/>
  <c r="AU186" i="22"/>
  <c r="AU172" i="22"/>
  <c r="AU158" i="22"/>
  <c r="AU142" i="22"/>
  <c r="AU128" i="22"/>
  <c r="AU114" i="22"/>
  <c r="AU100" i="22"/>
  <c r="AU86" i="22"/>
  <c r="AU71" i="22"/>
  <c r="AU30" i="22"/>
  <c r="AU16" i="22"/>
  <c r="AU196" i="22"/>
  <c r="AU182" i="22"/>
  <c r="AU67" i="22"/>
  <c r="AU26" i="22"/>
  <c r="AU10" i="22"/>
  <c r="AU58" i="22"/>
  <c r="AU191" i="22"/>
  <c r="AU64" i="22"/>
  <c r="AU35" i="22"/>
  <c r="AU21" i="22"/>
  <c r="AU7" i="22"/>
  <c r="AU175" i="22"/>
  <c r="AU161" i="22"/>
  <c r="AU147" i="22"/>
  <c r="AU131" i="22"/>
  <c r="AU117" i="22"/>
  <c r="AU103" i="22"/>
  <c r="AU89" i="22"/>
  <c r="AU75" i="22"/>
  <c r="AU202" i="22"/>
  <c r="AU188" i="22"/>
  <c r="AU174" i="22"/>
  <c r="AU160" i="22"/>
  <c r="AU146" i="22"/>
  <c r="AU130" i="22"/>
  <c r="AU116" i="22"/>
  <c r="AU102" i="22"/>
  <c r="AU88" i="22"/>
  <c r="AU74" i="22"/>
  <c r="AU32" i="22"/>
  <c r="AU18" i="22"/>
  <c r="AU4" i="22"/>
  <c r="AU51" i="22"/>
  <c r="AU170" i="22"/>
  <c r="AU154" i="22"/>
  <c r="AU140" i="22"/>
  <c r="AU126" i="22"/>
  <c r="AU112" i="22"/>
  <c r="AU98" i="22"/>
  <c r="AU82" i="22"/>
  <c r="AU197" i="22"/>
  <c r="AU183" i="22"/>
  <c r="AU167" i="22"/>
  <c r="AU153" i="22"/>
  <c r="AU139" i="22"/>
  <c r="AU125" i="22"/>
  <c r="AU111" i="22"/>
  <c r="AU95" i="22"/>
  <c r="AU81" i="22"/>
  <c r="AU68" i="22"/>
  <c r="AU27" i="22"/>
  <c r="AU11" i="22"/>
  <c r="AU166" i="22"/>
  <c r="AU152" i="22"/>
  <c r="AU138" i="22"/>
  <c r="AU124" i="22"/>
  <c r="AU110" i="22"/>
  <c r="AU94" i="22"/>
  <c r="AU80" i="22"/>
  <c r="AU195" i="22"/>
  <c r="AU179" i="22"/>
  <c r="AU165" i="22"/>
  <c r="AU151" i="22"/>
  <c r="AU137" i="22"/>
  <c r="AU123" i="22"/>
  <c r="AU107" i="22"/>
  <c r="AU93" i="22"/>
  <c r="AU79" i="22"/>
  <c r="AU66" i="22"/>
  <c r="AU23" i="22"/>
  <c r="AU9" i="22"/>
  <c r="AU194" i="22"/>
  <c r="AU178" i="22"/>
  <c r="AU164" i="22"/>
  <c r="AU150" i="22"/>
  <c r="AU136" i="22"/>
  <c r="AU122" i="22"/>
  <c r="AU106" i="22"/>
  <c r="AU92" i="22"/>
  <c r="AU78" i="22"/>
  <c r="AU65" i="22"/>
  <c r="AU22" i="22"/>
  <c r="AU8" i="22"/>
  <c r="AD2" i="22"/>
  <c r="Y133" i="22"/>
  <c r="Y193" i="22"/>
  <c r="Y3" i="22"/>
  <c r="Y4" i="22"/>
  <c r="Y5" i="22"/>
  <c r="Y6" i="22"/>
  <c r="Y7" i="22"/>
  <c r="Y8" i="22"/>
  <c r="Y9" i="22"/>
  <c r="Y10" i="22"/>
  <c r="Y11" i="22"/>
  <c r="Y12" i="22"/>
  <c r="Y14" i="22"/>
  <c r="Y15" i="22"/>
  <c r="Y16" i="22"/>
  <c r="Y17" i="22"/>
  <c r="Y18" i="22"/>
  <c r="Y19" i="22"/>
  <c r="Y20" i="22"/>
  <c r="Y21" i="22"/>
  <c r="Y22" i="22"/>
  <c r="Y23" i="22"/>
  <c r="Y24" i="22"/>
  <c r="Y26" i="22"/>
  <c r="Y27" i="22"/>
  <c r="Y28" i="22"/>
  <c r="Y29" i="22"/>
  <c r="Y30" i="22"/>
  <c r="Y31" i="22"/>
  <c r="Y32" i="22"/>
  <c r="Y33" i="22"/>
  <c r="Y34" i="22"/>
  <c r="Y35" i="22"/>
  <c r="Y36" i="22"/>
  <c r="Y38" i="22"/>
  <c r="Y39" i="22"/>
  <c r="Y40" i="22"/>
  <c r="Y41" i="22"/>
  <c r="Y42" i="22"/>
  <c r="Y43" i="22"/>
  <c r="Y44" i="22"/>
  <c r="Y45" i="22"/>
  <c r="Y46" i="22"/>
  <c r="Y47" i="22"/>
  <c r="Y48" i="22"/>
  <c r="Y50" i="22"/>
  <c r="Y51" i="22"/>
  <c r="Y52" i="22"/>
  <c r="Y53" i="22"/>
  <c r="Y54" i="22"/>
  <c r="Y55" i="22"/>
  <c r="Y56" i="22"/>
  <c r="Y57" i="22"/>
  <c r="Y58" i="22"/>
  <c r="Y59" i="22"/>
  <c r="Y60" i="22"/>
  <c r="Y62" i="22"/>
  <c r="Y63" i="22"/>
  <c r="Y64" i="22"/>
  <c r="Y65" i="22"/>
  <c r="Y66" i="22"/>
  <c r="Y67" i="22"/>
  <c r="Y68" i="22"/>
  <c r="Y69" i="22"/>
  <c r="Y70" i="22"/>
  <c r="Y71" i="22"/>
  <c r="Y72" i="22"/>
  <c r="Y74" i="22"/>
  <c r="Y75" i="22"/>
  <c r="Y76" i="22"/>
  <c r="Y77" i="22"/>
  <c r="Y78" i="22"/>
  <c r="Y79" i="22"/>
  <c r="Y80" i="22"/>
  <c r="Y81" i="22"/>
  <c r="Y82" i="22"/>
  <c r="Y83" i="22"/>
  <c r="Y84" i="22"/>
  <c r="Y86" i="22"/>
  <c r="Y87" i="22"/>
  <c r="Y88" i="22"/>
  <c r="Y89" i="22"/>
  <c r="Y90" i="22"/>
  <c r="Y91" i="22"/>
  <c r="Y92" i="22"/>
  <c r="Y93" i="22"/>
  <c r="Y94" i="22"/>
  <c r="Y95" i="22"/>
  <c r="Y96" i="22"/>
  <c r="Y98" i="22"/>
  <c r="Y99" i="22"/>
  <c r="Y100" i="22"/>
  <c r="Y101" i="22"/>
  <c r="Y102" i="22"/>
  <c r="Y103" i="22"/>
  <c r="Y104" i="22"/>
  <c r="Y105" i="22"/>
  <c r="Y106" i="22"/>
  <c r="Y107" i="22"/>
  <c r="Y108" i="22"/>
  <c r="Y110" i="22"/>
  <c r="Y111" i="22"/>
  <c r="Y112" i="22"/>
  <c r="Y113" i="22"/>
  <c r="Y114" i="22"/>
  <c r="Y115" i="22"/>
  <c r="Y116" i="22"/>
  <c r="Y117" i="22"/>
  <c r="Y118" i="22"/>
  <c r="Y119" i="22"/>
  <c r="Y120" i="22"/>
  <c r="Y122" i="22"/>
  <c r="Y123" i="22"/>
  <c r="Y124" i="22"/>
  <c r="Y125" i="22"/>
  <c r="Y126" i="22"/>
  <c r="Y127" i="22"/>
  <c r="Y128" i="22"/>
  <c r="Y129" i="22"/>
  <c r="Y130" i="22"/>
  <c r="Y131" i="22"/>
  <c r="Y132" i="22"/>
  <c r="Y134" i="22"/>
  <c r="Y135" i="22"/>
  <c r="Y136" i="22"/>
  <c r="Y137" i="22"/>
  <c r="Y138" i="22"/>
  <c r="Y139" i="22"/>
  <c r="Y140" i="22"/>
  <c r="Y141" i="22"/>
  <c r="Y142" i="22"/>
  <c r="Y143" i="22"/>
  <c r="Y144" i="22"/>
  <c r="Y146" i="22"/>
  <c r="Y147" i="22"/>
  <c r="Y148" i="22"/>
  <c r="Y149" i="22"/>
  <c r="Y150" i="22"/>
  <c r="Y151" i="22"/>
  <c r="Y152" i="22"/>
  <c r="Y153" i="22"/>
  <c r="Y154" i="22"/>
  <c r="Y155" i="22"/>
  <c r="Y156" i="22"/>
  <c r="Y158" i="22"/>
  <c r="Y159" i="22"/>
  <c r="Y160" i="22"/>
  <c r="Y161" i="22"/>
  <c r="Y162" i="22"/>
  <c r="Y163" i="22"/>
  <c r="Y164" i="22"/>
  <c r="Y165" i="22"/>
  <c r="Y166" i="22"/>
  <c r="Y167" i="22"/>
  <c r="Y168" i="22"/>
  <c r="Y170" i="22"/>
  <c r="Y171" i="22"/>
  <c r="Y172" i="22"/>
  <c r="Y173" i="22"/>
  <c r="Y174" i="22"/>
  <c r="Y175" i="22"/>
  <c r="Y176" i="22"/>
  <c r="Y177" i="22"/>
  <c r="Y178" i="22"/>
  <c r="Y179" i="22"/>
  <c r="Y180" i="22"/>
  <c r="Y182" i="22"/>
  <c r="Y183" i="22"/>
  <c r="Y184" i="22"/>
  <c r="Y185" i="22"/>
  <c r="Y186" i="22"/>
  <c r="Y187" i="22"/>
  <c r="Y188" i="22"/>
  <c r="Y189" i="22"/>
  <c r="Y190" i="22"/>
  <c r="Y191" i="22"/>
  <c r="Y192" i="22"/>
  <c r="Y194" i="22"/>
  <c r="Y195" i="22"/>
  <c r="Y196" i="22"/>
  <c r="Y197" i="22"/>
  <c r="Y198" i="22"/>
  <c r="Y199" i="22"/>
  <c r="Y200" i="22"/>
  <c r="Y201" i="22"/>
  <c r="Y202" i="22"/>
  <c r="Y203" i="22"/>
  <c r="Y204" i="22"/>
  <c r="CF206" i="22" l="1"/>
  <c r="CF212" i="22"/>
  <c r="CF205" i="22"/>
  <c r="CF214" i="22"/>
  <c r="CF215" i="22"/>
  <c r="CF213" i="22"/>
  <c r="CF217" i="22"/>
  <c r="AU156" i="22"/>
  <c r="AU36" i="22"/>
  <c r="AU25" i="22"/>
  <c r="AU109" i="22"/>
  <c r="AU72" i="22"/>
  <c r="AU85" i="22"/>
  <c r="AU203" i="22"/>
  <c r="AU157" i="22"/>
  <c r="AU37" i="22"/>
  <c r="AU12" i="22"/>
  <c r="AU13" i="22"/>
  <c r="AU144" i="22"/>
  <c r="AU181" i="22"/>
  <c r="AU60" i="22"/>
  <c r="AU145" i="22"/>
  <c r="AU204" i="22"/>
  <c r="AU24" i="22"/>
  <c r="AU168" i="22"/>
  <c r="AU169" i="22"/>
  <c r="AU133" i="22"/>
  <c r="AU121" i="22"/>
  <c r="AU97" i="22"/>
  <c r="AU48" i="22"/>
  <c r="AU96" i="22"/>
  <c r="AU192" i="22"/>
  <c r="AU61" i="22"/>
  <c r="AU120" i="22"/>
  <c r="AU49" i="22"/>
  <c r="AU180" i="22"/>
  <c r="AU84" i="22"/>
  <c r="AU132" i="22"/>
  <c r="AU108" i="22"/>
  <c r="AU193" i="22"/>
  <c r="AU73" i="22"/>
  <c r="R2" i="22"/>
  <c r="Y181" i="22"/>
  <c r="Y169" i="22"/>
  <c r="Y157" i="22"/>
  <c r="Y145" i="22"/>
  <c r="Y121" i="22"/>
  <c r="Y73" i="22"/>
  <c r="Y109" i="22"/>
  <c r="Y49" i="22"/>
  <c r="Y13" i="22"/>
  <c r="Y37" i="22"/>
  <c r="Y25" i="22"/>
  <c r="Y61" i="22"/>
  <c r="Y85" i="22"/>
  <c r="Y97" i="22"/>
  <c r="R3" i="22" l="1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R58" i="22"/>
  <c r="R59" i="22"/>
  <c r="R60" i="22"/>
  <c r="R61" i="22"/>
  <c r="R62" i="22"/>
  <c r="R63" i="22"/>
  <c r="R64" i="22"/>
  <c r="R65" i="22"/>
  <c r="R66" i="22"/>
  <c r="R67" i="22"/>
  <c r="R68" i="22"/>
  <c r="R69" i="22"/>
  <c r="R70" i="22"/>
  <c r="R71" i="22"/>
  <c r="R72" i="22"/>
  <c r="R73" i="22"/>
  <c r="R74" i="22"/>
  <c r="R75" i="22"/>
  <c r="R76" i="22"/>
  <c r="R77" i="22"/>
  <c r="R78" i="22"/>
  <c r="R79" i="22"/>
  <c r="R80" i="22"/>
  <c r="R81" i="22"/>
  <c r="R82" i="22"/>
  <c r="R83" i="22"/>
  <c r="R84" i="22"/>
  <c r="R85" i="22"/>
  <c r="R86" i="22"/>
  <c r="R87" i="22"/>
  <c r="R88" i="22"/>
  <c r="R89" i="22"/>
  <c r="R90" i="22"/>
  <c r="R91" i="22"/>
  <c r="R92" i="22"/>
  <c r="R93" i="22"/>
  <c r="R94" i="22"/>
  <c r="R95" i="22"/>
  <c r="R96" i="22"/>
  <c r="R97" i="22"/>
  <c r="R98" i="22"/>
  <c r="R99" i="22"/>
  <c r="R100" i="22"/>
  <c r="R101" i="22"/>
  <c r="R102" i="22"/>
  <c r="R103" i="22"/>
  <c r="R104" i="22"/>
  <c r="R105" i="22"/>
  <c r="R106" i="22"/>
  <c r="R107" i="22"/>
  <c r="R108" i="22"/>
  <c r="R109" i="22"/>
  <c r="R110" i="22"/>
  <c r="R111" i="22"/>
  <c r="R112" i="22"/>
  <c r="R113" i="22"/>
  <c r="R114" i="22"/>
  <c r="R115" i="22"/>
  <c r="R116" i="22"/>
  <c r="R117" i="22"/>
  <c r="R118" i="22"/>
  <c r="R119" i="22"/>
  <c r="R120" i="22"/>
  <c r="R121" i="22"/>
  <c r="R122" i="22"/>
  <c r="R123" i="22"/>
  <c r="R124" i="22"/>
  <c r="R125" i="22"/>
  <c r="R126" i="22"/>
  <c r="R127" i="22"/>
  <c r="R128" i="22"/>
  <c r="R129" i="22"/>
  <c r="R130" i="22"/>
  <c r="R131" i="22"/>
  <c r="R132" i="22"/>
  <c r="R133" i="22"/>
  <c r="R134" i="22"/>
  <c r="R135" i="22"/>
  <c r="R136" i="22"/>
  <c r="R137" i="22"/>
  <c r="R138" i="22"/>
  <c r="R139" i="22"/>
  <c r="R140" i="22"/>
  <c r="R141" i="22"/>
  <c r="R142" i="22"/>
  <c r="R143" i="22"/>
  <c r="R144" i="22"/>
  <c r="R145" i="22"/>
  <c r="R146" i="22"/>
  <c r="R147" i="22"/>
  <c r="R148" i="22"/>
  <c r="R149" i="22"/>
  <c r="R150" i="22"/>
  <c r="R151" i="22"/>
  <c r="R152" i="22"/>
  <c r="R153" i="22"/>
  <c r="R154" i="22"/>
  <c r="R155" i="22"/>
  <c r="R156" i="22"/>
  <c r="R157" i="22"/>
  <c r="R158" i="22"/>
  <c r="R159" i="22"/>
  <c r="R160" i="22"/>
  <c r="R161" i="22"/>
  <c r="R162" i="22"/>
  <c r="R163" i="22"/>
  <c r="R164" i="22"/>
  <c r="R165" i="22"/>
  <c r="R166" i="22"/>
  <c r="R167" i="22"/>
  <c r="R168" i="22"/>
  <c r="R169" i="22"/>
  <c r="R170" i="22"/>
  <c r="R171" i="22"/>
  <c r="R172" i="22"/>
  <c r="R173" i="22"/>
  <c r="R174" i="22"/>
  <c r="R175" i="22"/>
  <c r="R176" i="22"/>
  <c r="R177" i="22"/>
  <c r="R178" i="22"/>
  <c r="R179" i="22"/>
  <c r="R180" i="22"/>
  <c r="R181" i="22"/>
  <c r="R182" i="22"/>
  <c r="R183" i="22"/>
  <c r="R184" i="22"/>
  <c r="R185" i="22"/>
  <c r="R186" i="22"/>
  <c r="R187" i="22"/>
  <c r="R188" i="22"/>
  <c r="R189" i="22"/>
  <c r="R190" i="22"/>
  <c r="R191" i="22"/>
  <c r="R192" i="22"/>
  <c r="R193" i="22"/>
  <c r="R194" i="22"/>
  <c r="R195" i="22"/>
  <c r="R196" i="22"/>
  <c r="R197" i="22"/>
  <c r="R198" i="22"/>
  <c r="R199" i="22"/>
  <c r="R200" i="22"/>
  <c r="R201" i="22"/>
  <c r="R202" i="22"/>
  <c r="R203" i="22"/>
  <c r="R204" i="22"/>
  <c r="AU2" i="22" l="1"/>
  <c r="BV79" i="22"/>
  <c r="BV178" i="22"/>
  <c r="BV186" i="22"/>
  <c r="BV3" i="22"/>
  <c r="BV102" i="22"/>
  <c r="BR79" i="22"/>
  <c r="BR178" i="22"/>
  <c r="BR186" i="22"/>
  <c r="BR171" i="22"/>
  <c r="BR102" i="22"/>
  <c r="BR183" i="22"/>
  <c r="BR71" i="22"/>
  <c r="BR170" i="22"/>
  <c r="AT79" i="22"/>
  <c r="AT71" i="22"/>
  <c r="AT171" i="22"/>
  <c r="AT91" i="22"/>
  <c r="AT3" i="22"/>
  <c r="AT170" i="22"/>
  <c r="AT183" i="22"/>
  <c r="AT153" i="22"/>
  <c r="AT102" i="22"/>
  <c r="AT178" i="22"/>
  <c r="AT186" i="22"/>
  <c r="AD79" i="22"/>
  <c r="AD178" i="22"/>
  <c r="AD186" i="22"/>
  <c r="AD71" i="22"/>
  <c r="AD171" i="22"/>
  <c r="AD3" i="22"/>
  <c r="AD5" i="22"/>
  <c r="AD170" i="22"/>
  <c r="AD183" i="22"/>
  <c r="AD91" i="22"/>
  <c r="AD26" i="22"/>
  <c r="AD153" i="22"/>
  <c r="BV154" i="22"/>
  <c r="BR154" i="22"/>
  <c r="AT154" i="22"/>
  <c r="AD154" i="22"/>
  <c r="BV153" i="22"/>
  <c r="BR153" i="22"/>
  <c r="BV26" i="22"/>
  <c r="BR26" i="22"/>
  <c r="AT26" i="22"/>
  <c r="BV183" i="22"/>
  <c r="BV170" i="22"/>
  <c r="BR3" i="22"/>
  <c r="BV91" i="22"/>
  <c r="BR91" i="22"/>
  <c r="BV155" i="22"/>
  <c r="BR155" i="22"/>
  <c r="AT155" i="22"/>
  <c r="AD155" i="22"/>
  <c r="BV33" i="22"/>
  <c r="BR33" i="22"/>
  <c r="AT33" i="22"/>
  <c r="AD33" i="22"/>
  <c r="BV5" i="22"/>
  <c r="BR5" i="22"/>
  <c r="AT5" i="22"/>
  <c r="BV181" i="22"/>
  <c r="BR181" i="22"/>
  <c r="AT181" i="22"/>
  <c r="AD181" i="22"/>
  <c r="BV171" i="22"/>
  <c r="BV71" i="22"/>
  <c r="AE3" i="22" l="1"/>
  <c r="CF3" i="22" s="1"/>
  <c r="AE79" i="22"/>
  <c r="CF79" i="22" s="1"/>
  <c r="AE71" i="22"/>
  <c r="CF71" i="22" s="1"/>
  <c r="AD102" i="22"/>
  <c r="AE181" i="22"/>
  <c r="CF181" i="22" s="1"/>
  <c r="AE26" i="22"/>
  <c r="CF26" i="22" s="1"/>
  <c r="BV68" i="22"/>
  <c r="BV70" i="22"/>
  <c r="BV99" i="22"/>
  <c r="BV174" i="22"/>
  <c r="BV126" i="22"/>
  <c r="BV148" i="22"/>
  <c r="BV119" i="22"/>
  <c r="BV169" i="22"/>
  <c r="BV4" i="22"/>
  <c r="BV40" i="22"/>
  <c r="BV145" i="22"/>
  <c r="BV165" i="22"/>
  <c r="BV23" i="22"/>
  <c r="BV81" i="22"/>
  <c r="BV115" i="22"/>
  <c r="BV12" i="22"/>
  <c r="BV44" i="22"/>
  <c r="BV201" i="22"/>
  <c r="BV61" i="22"/>
  <c r="BV37" i="22"/>
  <c r="BV51" i="22"/>
  <c r="BV34" i="22"/>
  <c r="BV97" i="22"/>
  <c r="BV85" i="22"/>
  <c r="BV164" i="22"/>
  <c r="BV157" i="22"/>
  <c r="BV106" i="22"/>
  <c r="BV197" i="22"/>
  <c r="BV13" i="22"/>
  <c r="BV69" i="22"/>
  <c r="BV136" i="22"/>
  <c r="BV131" i="22"/>
  <c r="BV29" i="22"/>
  <c r="BV50" i="22"/>
  <c r="BV15" i="22"/>
  <c r="BV122" i="22"/>
  <c r="BV103" i="22"/>
  <c r="BV22" i="22"/>
  <c r="BV55" i="22"/>
  <c r="BR20" i="22"/>
  <c r="BR200" i="22"/>
  <c r="BR196" i="22"/>
  <c r="BR135" i="22"/>
  <c r="BR134" i="22"/>
  <c r="BR151" i="22"/>
  <c r="BR36" i="22"/>
  <c r="BR61" i="22"/>
  <c r="BR122" i="22"/>
  <c r="BR103" i="22"/>
  <c r="BR145" i="22"/>
  <c r="BR195" i="22"/>
  <c r="BR55" i="22"/>
  <c r="BR97" i="22"/>
  <c r="BR108" i="22"/>
  <c r="BR120" i="22"/>
  <c r="BR80" i="22"/>
  <c r="BR98" i="22"/>
  <c r="BR44" i="22"/>
  <c r="BR50" i="22"/>
  <c r="BR169" i="22"/>
  <c r="BR184" i="22"/>
  <c r="BR4" i="22"/>
  <c r="BR202" i="22"/>
  <c r="BR165" i="22"/>
  <c r="BR23" i="22"/>
  <c r="BR123" i="22"/>
  <c r="BR152" i="22"/>
  <c r="BR64" i="22"/>
  <c r="BR99" i="22"/>
  <c r="BR146" i="22"/>
  <c r="BR174" i="22"/>
  <c r="BR25" i="22"/>
  <c r="BR2" i="22"/>
  <c r="BR137" i="22"/>
  <c r="BR7" i="22"/>
  <c r="BR86" i="22"/>
  <c r="BR132" i="22"/>
  <c r="BR119" i="22"/>
  <c r="BR176" i="22"/>
  <c r="BR125" i="22"/>
  <c r="AT68" i="22"/>
  <c r="AT120" i="22"/>
  <c r="AT174" i="22"/>
  <c r="AT119" i="22"/>
  <c r="AT169" i="22"/>
  <c r="AT39" i="22"/>
  <c r="AT4" i="22"/>
  <c r="AT165" i="22"/>
  <c r="AT195" i="22"/>
  <c r="AT176" i="22"/>
  <c r="AT40" i="22"/>
  <c r="AT23" i="22"/>
  <c r="AT190" i="22"/>
  <c r="AT25" i="22"/>
  <c r="AT107" i="22"/>
  <c r="AT96" i="22"/>
  <c r="AT201" i="22"/>
  <c r="AT15" i="22"/>
  <c r="AT61" i="22"/>
  <c r="AT51" i="22"/>
  <c r="AT37" i="22"/>
  <c r="AD68" i="22"/>
  <c r="AD70" i="22"/>
  <c r="AD204" i="22"/>
  <c r="AD99" i="22"/>
  <c r="AD146" i="22"/>
  <c r="AD148" i="22"/>
  <c r="AD119" i="22"/>
  <c r="AD160" i="22"/>
  <c r="AD169" i="22"/>
  <c r="AD145" i="22"/>
  <c r="AD165" i="22"/>
  <c r="AD202" i="22"/>
  <c r="AD89" i="22"/>
  <c r="AD80" i="22"/>
  <c r="AD126" i="22"/>
  <c r="AD96" i="22"/>
  <c r="AD37" i="22"/>
  <c r="AD187" i="22"/>
  <c r="AD172" i="22"/>
  <c r="AD137" i="22"/>
  <c r="AD7" i="22"/>
  <c r="AD173" i="22"/>
  <c r="AD61" i="22"/>
  <c r="AD103" i="22"/>
  <c r="AD97" i="22"/>
  <c r="AD55" i="22"/>
  <c r="BR22" i="22"/>
  <c r="AT22" i="22"/>
  <c r="AD22" i="22"/>
  <c r="AD23" i="22"/>
  <c r="BV195" i="22"/>
  <c r="AT145" i="22"/>
  <c r="BV125" i="22"/>
  <c r="AD125" i="22"/>
  <c r="BV60" i="22"/>
  <c r="BR60" i="22"/>
  <c r="AT60" i="22"/>
  <c r="AD60" i="22"/>
  <c r="BR40" i="22"/>
  <c r="AD40" i="22"/>
  <c r="AT103" i="22"/>
  <c r="BR34" i="22"/>
  <c r="AT34" i="22"/>
  <c r="AD34" i="22"/>
  <c r="AT122" i="22"/>
  <c r="AD122" i="22"/>
  <c r="BV202" i="22"/>
  <c r="BV176" i="22"/>
  <c r="AD176" i="22"/>
  <c r="BR51" i="22"/>
  <c r="AD51" i="22"/>
  <c r="BV39" i="22"/>
  <c r="BR39" i="22"/>
  <c r="AD39" i="22"/>
  <c r="BR37" i="22"/>
  <c r="BV184" i="22"/>
  <c r="BV160" i="22"/>
  <c r="BR160" i="22"/>
  <c r="AT160" i="22"/>
  <c r="BV156" i="22"/>
  <c r="BR156" i="22"/>
  <c r="AT156" i="22"/>
  <c r="AD156" i="22"/>
  <c r="BV27" i="22"/>
  <c r="BR27" i="22"/>
  <c r="AD27" i="22"/>
  <c r="BR15" i="22"/>
  <c r="AD15" i="22"/>
  <c r="BR201" i="22"/>
  <c r="AD201" i="22"/>
  <c r="AT50" i="22"/>
  <c r="AD50" i="22"/>
  <c r="BV36" i="22"/>
  <c r="AT36" i="22"/>
  <c r="AD36" i="22"/>
  <c r="AD44" i="22"/>
  <c r="BR148" i="22"/>
  <c r="AT148" i="22"/>
  <c r="BV173" i="22"/>
  <c r="BR173" i="22"/>
  <c r="AT173" i="22"/>
  <c r="BR12" i="22"/>
  <c r="AT12" i="22"/>
  <c r="AD12" i="22"/>
  <c r="BV41" i="22"/>
  <c r="BR41" i="22"/>
  <c r="AT41" i="22"/>
  <c r="AD41" i="22"/>
  <c r="BV96" i="22"/>
  <c r="BR96" i="22"/>
  <c r="BV10" i="22"/>
  <c r="BR10" i="22"/>
  <c r="AT10" i="22"/>
  <c r="AD10" i="22"/>
  <c r="BV151" i="22"/>
  <c r="AT151" i="22"/>
  <c r="AD151" i="22"/>
  <c r="BV107" i="22"/>
  <c r="BR107" i="22"/>
  <c r="AD107" i="22"/>
  <c r="BV98" i="22"/>
  <c r="BV132" i="22"/>
  <c r="AT132" i="22"/>
  <c r="BV86" i="22"/>
  <c r="AT86" i="22"/>
  <c r="AD86" i="22"/>
  <c r="BR29" i="22"/>
  <c r="AT29" i="22"/>
  <c r="AD29" i="22"/>
  <c r="BV118" i="22"/>
  <c r="BR118" i="22"/>
  <c r="AT118" i="22"/>
  <c r="AD118" i="22"/>
  <c r="BV21" i="22"/>
  <c r="BR21" i="22"/>
  <c r="AT21" i="22"/>
  <c r="AD21" i="22"/>
  <c r="BV134" i="22"/>
  <c r="AT134" i="22"/>
  <c r="AD134" i="22"/>
  <c r="BR131" i="22"/>
  <c r="AT131" i="22"/>
  <c r="AD131" i="22"/>
  <c r="BR126" i="22"/>
  <c r="BV7" i="22"/>
  <c r="AT7" i="22"/>
  <c r="BV137" i="22"/>
  <c r="AT137" i="22"/>
  <c r="BR115" i="22"/>
  <c r="AT115" i="22"/>
  <c r="AD115" i="22"/>
  <c r="BR136" i="22"/>
  <c r="AT136" i="22"/>
  <c r="AD136" i="22"/>
  <c r="BV135" i="22"/>
  <c r="AT135" i="22"/>
  <c r="AD135" i="22"/>
  <c r="BV2" i="22"/>
  <c r="AT2" i="22"/>
  <c r="Y2" i="22"/>
  <c r="AE2" i="22" s="1"/>
  <c r="BV25" i="22"/>
  <c r="AD25" i="22"/>
  <c r="BV140" i="22"/>
  <c r="BR140" i="22"/>
  <c r="AT140" i="22"/>
  <c r="AD140" i="22"/>
  <c r="BR69" i="22"/>
  <c r="AT69" i="22"/>
  <c r="AD69" i="22"/>
  <c r="BR13" i="22"/>
  <c r="AT13" i="22"/>
  <c r="AD13" i="22"/>
  <c r="BV196" i="22"/>
  <c r="AT196" i="22"/>
  <c r="AD196" i="22"/>
  <c r="BV161" i="22"/>
  <c r="BR161" i="22"/>
  <c r="AT161" i="22"/>
  <c r="AD161" i="22"/>
  <c r="BV80" i="22"/>
  <c r="BV146" i="22"/>
  <c r="AT146" i="22"/>
  <c r="BV172" i="22"/>
  <c r="BR172" i="22"/>
  <c r="AT172" i="22"/>
  <c r="BV199" i="22"/>
  <c r="BR199" i="22"/>
  <c r="AT199" i="22"/>
  <c r="AD199" i="22"/>
  <c r="BR197" i="22"/>
  <c r="AT197" i="22"/>
  <c r="AD197" i="22"/>
  <c r="BV190" i="22"/>
  <c r="BR190" i="22"/>
  <c r="AD190" i="22"/>
  <c r="BV187" i="22"/>
  <c r="BR187" i="22"/>
  <c r="AT187" i="22"/>
  <c r="BR106" i="22"/>
  <c r="AT106" i="22"/>
  <c r="AD106" i="22"/>
  <c r="BV120" i="22"/>
  <c r="BV204" i="22"/>
  <c r="BR204" i="22"/>
  <c r="AT204" i="22"/>
  <c r="BV32" i="22"/>
  <c r="BR32" i="22"/>
  <c r="AT32" i="22"/>
  <c r="AD32" i="22"/>
  <c r="BR157" i="22"/>
  <c r="AT157" i="22"/>
  <c r="AD157" i="22"/>
  <c r="BV89" i="22"/>
  <c r="BR89" i="22"/>
  <c r="AT89" i="22"/>
  <c r="BR81" i="22"/>
  <c r="AT81" i="22"/>
  <c r="AD81" i="22"/>
  <c r="BV124" i="22"/>
  <c r="BR124" i="22"/>
  <c r="AT124" i="22"/>
  <c r="AD124" i="22"/>
  <c r="BV64" i="22"/>
  <c r="AT64" i="22"/>
  <c r="AD64" i="22"/>
  <c r="BV108" i="22"/>
  <c r="BR70" i="22"/>
  <c r="BV152" i="22"/>
  <c r="AT152" i="22"/>
  <c r="AD152" i="22"/>
  <c r="BV109" i="22"/>
  <c r="BR109" i="22"/>
  <c r="AT109" i="22"/>
  <c r="AD109" i="22"/>
  <c r="BV123" i="22"/>
  <c r="AT123" i="22"/>
  <c r="AD123" i="22"/>
  <c r="BV175" i="22"/>
  <c r="BR175" i="22"/>
  <c r="AT175" i="22"/>
  <c r="AD175" i="22"/>
  <c r="BV95" i="22"/>
  <c r="BR95" i="22"/>
  <c r="AD95" i="22"/>
  <c r="BV167" i="22"/>
  <c r="BR167" i="22"/>
  <c r="AT167" i="22"/>
  <c r="AD167" i="22"/>
  <c r="BV200" i="22"/>
  <c r="AT200" i="22"/>
  <c r="AD200" i="22"/>
  <c r="BR164" i="22"/>
  <c r="AT164" i="22"/>
  <c r="AD164" i="22"/>
  <c r="BR68" i="22"/>
  <c r="BV121" i="22"/>
  <c r="BR121" i="22"/>
  <c r="AT121" i="22"/>
  <c r="AD121" i="22"/>
  <c r="BV198" i="22"/>
  <c r="BR198" i="22"/>
  <c r="AT198" i="22"/>
  <c r="AD198" i="22"/>
  <c r="BV111" i="22"/>
  <c r="BR111" i="22"/>
  <c r="AT111" i="22"/>
  <c r="AD111" i="22"/>
  <c r="BV78" i="22"/>
  <c r="BR78" i="22"/>
  <c r="AT78" i="22"/>
  <c r="AD78" i="22"/>
  <c r="BV110" i="22"/>
  <c r="BR110" i="22"/>
  <c r="AT110" i="22"/>
  <c r="AD110" i="22"/>
  <c r="BV52" i="22"/>
  <c r="BR52" i="22"/>
  <c r="AT52" i="22"/>
  <c r="AD52" i="22"/>
  <c r="BR85" i="22"/>
  <c r="AT85" i="22"/>
  <c r="AD85" i="22"/>
  <c r="BV20" i="22"/>
  <c r="AT20" i="22"/>
  <c r="AD20" i="22"/>
  <c r="AE186" i="22" l="1"/>
  <c r="CF186" i="22" s="1"/>
  <c r="AE102" i="22"/>
  <c r="CF102" i="22" s="1"/>
  <c r="AE170" i="22"/>
  <c r="CF170" i="22" s="1"/>
  <c r="AE154" i="22"/>
  <c r="CF154" i="22" s="1"/>
  <c r="AE171" i="22"/>
  <c r="CF171" i="22" s="1"/>
  <c r="AE153" i="22"/>
  <c r="CF153" i="22" s="1"/>
  <c r="AE33" i="22"/>
  <c r="CF33" i="22" s="1"/>
  <c r="AE91" i="22"/>
  <c r="CF91" i="22" s="1"/>
  <c r="AE178" i="22"/>
  <c r="CF178" i="22" s="1"/>
  <c r="AE155" i="22"/>
  <c r="CF155" i="22" s="1"/>
  <c r="AE5" i="22"/>
  <c r="CF5" i="22" s="1"/>
  <c r="AE183" i="22"/>
  <c r="CF183" i="22" s="1"/>
  <c r="AT202" i="22"/>
  <c r="AT184" i="22"/>
  <c r="AT95" i="22"/>
  <c r="AT97" i="22"/>
  <c r="AT27" i="22"/>
  <c r="AT55" i="22"/>
  <c r="AT44" i="22"/>
  <c r="AT108" i="22"/>
  <c r="AT126" i="22"/>
  <c r="AT98" i="22"/>
  <c r="AT80" i="22"/>
  <c r="AT99" i="22"/>
  <c r="AT70" i="22"/>
  <c r="AT125" i="22"/>
  <c r="AD4" i="22"/>
  <c r="AE204" i="22"/>
  <c r="CF204" i="22" s="1"/>
  <c r="AD174" i="22"/>
  <c r="AD98" i="22"/>
  <c r="AD120" i="22"/>
  <c r="AD195" i="22"/>
  <c r="AD108" i="22"/>
  <c r="AD184" i="22"/>
  <c r="AE120" i="22"/>
  <c r="CF120" i="22" s="1"/>
  <c r="AE80" i="22"/>
  <c r="CF80" i="22" s="1"/>
  <c r="AE137" i="22"/>
  <c r="CF137" i="22" s="1"/>
  <c r="AD132" i="22"/>
  <c r="AE7" i="22"/>
  <c r="CF7" i="22" s="1"/>
  <c r="AE187" i="22"/>
  <c r="CF187" i="22" s="1"/>
  <c r="AE131" i="22"/>
  <c r="CF131" i="22" s="1"/>
  <c r="AE27" i="22"/>
  <c r="CF27" i="22" s="1"/>
  <c r="AE176" i="22"/>
  <c r="CF176" i="22" s="1"/>
  <c r="AE60" i="22"/>
  <c r="CF60" i="22" s="1"/>
  <c r="AE125" i="22"/>
  <c r="CF125" i="22" s="1"/>
  <c r="AE151" i="22"/>
  <c r="CF151" i="22" s="1"/>
  <c r="AE12" i="22"/>
  <c r="CF12" i="22" s="1"/>
  <c r="AE15" i="22"/>
  <c r="CF15" i="22" s="1"/>
  <c r="AE51" i="22"/>
  <c r="CF51" i="22" s="1"/>
  <c r="AE34" i="22"/>
  <c r="CF34" i="22" s="1"/>
  <c r="AE40" i="22"/>
  <c r="CF40" i="22" s="1"/>
  <c r="AE22" i="22"/>
  <c r="CF22" i="22" s="1"/>
  <c r="AE52" i="22"/>
  <c r="CF52" i="22" s="1"/>
  <c r="AE85" i="22"/>
  <c r="CF85" i="22" s="1"/>
  <c r="AE111" i="22"/>
  <c r="CF111" i="22" s="1"/>
  <c r="AE198" i="22"/>
  <c r="CF198" i="22" s="1"/>
  <c r="AE175" i="22"/>
  <c r="CF175" i="22" s="1"/>
  <c r="AE123" i="22"/>
  <c r="CF123" i="22" s="1"/>
  <c r="AE108" i="22"/>
  <c r="CF108" i="22" s="1"/>
  <c r="AE81" i="22"/>
  <c r="CF81" i="22" s="1"/>
  <c r="AE157" i="22"/>
  <c r="CF157" i="22" s="1"/>
  <c r="AE32" i="22"/>
  <c r="CF32" i="22" s="1"/>
  <c r="AE106" i="22"/>
  <c r="CF106" i="22" s="1"/>
  <c r="AE197" i="22"/>
  <c r="CF197" i="22" s="1"/>
  <c r="AE199" i="22"/>
  <c r="CF199" i="22" s="1"/>
  <c r="AE13" i="22"/>
  <c r="CF13" i="22" s="1"/>
  <c r="AE69" i="22"/>
  <c r="CF69" i="22" s="1"/>
  <c r="AE25" i="22"/>
  <c r="CF25" i="22" s="1"/>
  <c r="AE136" i="22"/>
  <c r="CF136" i="22" s="1"/>
  <c r="AE115" i="22"/>
  <c r="CF115" i="22" s="1"/>
  <c r="AE21" i="22"/>
  <c r="CF21" i="22" s="1"/>
  <c r="AE29" i="22"/>
  <c r="CF29" i="22" s="1"/>
  <c r="AE98" i="22"/>
  <c r="CF98" i="22" s="1"/>
  <c r="AE10" i="22"/>
  <c r="CF10" i="22" s="1"/>
  <c r="AE44" i="22"/>
  <c r="CF44" i="22" s="1"/>
  <c r="AE50" i="22"/>
  <c r="CF50" i="22" s="1"/>
  <c r="AE184" i="22"/>
  <c r="CF184" i="22" s="1"/>
  <c r="AE61" i="22"/>
  <c r="CF61" i="22" s="1"/>
  <c r="AE103" i="22"/>
  <c r="CF103" i="22" s="1"/>
  <c r="AE195" i="22"/>
  <c r="CF195" i="22" s="1"/>
  <c r="AE55" i="22"/>
  <c r="CF55" i="22" s="1"/>
  <c r="AE20" i="22"/>
  <c r="CF20" i="22" s="1"/>
  <c r="AE110" i="22"/>
  <c r="CF110" i="22" s="1"/>
  <c r="AE78" i="22"/>
  <c r="CF78" i="22" s="1"/>
  <c r="AE121" i="22"/>
  <c r="CF121" i="22" s="1"/>
  <c r="AE164" i="22"/>
  <c r="CF164" i="22" s="1"/>
  <c r="AE200" i="22"/>
  <c r="CF200" i="22" s="1"/>
  <c r="AE167" i="22"/>
  <c r="CF167" i="22" s="1"/>
  <c r="AE95" i="22"/>
  <c r="CF95" i="22" s="1"/>
  <c r="AE109" i="22"/>
  <c r="CF109" i="22" s="1"/>
  <c r="AE152" i="22"/>
  <c r="CF152" i="22" s="1"/>
  <c r="AE64" i="22"/>
  <c r="CF64" i="22" s="1"/>
  <c r="AE124" i="22"/>
  <c r="CF124" i="22" s="1"/>
  <c r="AE89" i="22"/>
  <c r="CF89" i="22" s="1"/>
  <c r="AE190" i="22"/>
  <c r="CF190" i="22" s="1"/>
  <c r="AE172" i="22"/>
  <c r="CF172" i="22" s="1"/>
  <c r="AE161" i="22"/>
  <c r="CF161" i="22" s="1"/>
  <c r="AE196" i="22"/>
  <c r="CF196" i="22" s="1"/>
  <c r="AE140" i="22"/>
  <c r="CF140" i="22" s="1"/>
  <c r="AE135" i="22"/>
  <c r="CF135" i="22" s="1"/>
  <c r="AE134" i="22"/>
  <c r="CF134" i="22" s="1"/>
  <c r="AE118" i="22"/>
  <c r="CF118" i="22" s="1"/>
  <c r="AE86" i="22"/>
  <c r="CF86" i="22" s="1"/>
  <c r="AE132" i="22"/>
  <c r="CF132" i="22" s="1"/>
  <c r="AE41" i="22"/>
  <c r="CF41" i="22" s="1"/>
  <c r="AE173" i="22"/>
  <c r="CF173" i="22" s="1"/>
  <c r="AE156" i="22"/>
  <c r="CF156" i="22" s="1"/>
  <c r="AE39" i="22"/>
  <c r="CF39" i="22" s="1"/>
  <c r="AE97" i="22"/>
  <c r="CF97" i="22" s="1"/>
  <c r="AE146" i="22" l="1"/>
  <c r="CF146" i="22" s="1"/>
  <c r="AE202" i="22"/>
  <c r="CF202" i="22" s="1"/>
  <c r="CF2" i="22"/>
  <c r="AE160" i="22"/>
  <c r="CF160" i="22" s="1"/>
  <c r="AE201" i="22"/>
  <c r="CF201" i="22" s="1"/>
  <c r="AE148" i="22"/>
  <c r="CF148" i="22" s="1"/>
  <c r="AE145" i="22"/>
  <c r="CF145" i="22" s="1"/>
  <c r="AE96" i="22"/>
  <c r="CF96" i="22" s="1"/>
  <c r="AE119" i="22"/>
  <c r="CF119" i="22" s="1"/>
  <c r="AE36" i="22"/>
  <c r="CF36" i="22" s="1"/>
  <c r="AE165" i="22"/>
  <c r="CF165" i="22" s="1"/>
  <c r="AE174" i="22"/>
  <c r="CF174" i="22" s="1"/>
  <c r="AE107" i="22"/>
  <c r="CF107" i="22" s="1"/>
  <c r="AE23" i="22"/>
  <c r="CF23" i="22" s="1"/>
  <c r="AE169" i="22"/>
  <c r="CF169" i="22" s="1"/>
  <c r="AE68" i="22"/>
  <c r="CF68" i="22" s="1"/>
  <c r="AE70" i="22"/>
  <c r="CF70" i="22" s="1"/>
  <c r="AE37" i="22"/>
  <c r="CF37" i="22" s="1"/>
  <c r="AE126" i="22"/>
  <c r="CF126" i="22" s="1"/>
  <c r="AE99" i="22"/>
  <c r="CF99" i="22" s="1"/>
  <c r="AE4" i="22"/>
  <c r="CF4" i="22" s="1"/>
  <c r="AE122" i="22"/>
  <c r="CF122" i="22" s="1"/>
  <c r="AD8" i="22"/>
  <c r="AT8" i="22"/>
  <c r="BR8" i="22"/>
  <c r="BV8" i="22"/>
  <c r="AD73" i="22"/>
  <c r="AT73" i="22"/>
  <c r="BR73" i="22"/>
  <c r="BV73" i="22"/>
  <c r="AD77" i="22"/>
  <c r="AT77" i="22"/>
  <c r="BR77" i="22"/>
  <c r="BV77" i="22"/>
  <c r="AD90" i="22"/>
  <c r="AT90" i="22"/>
  <c r="BR90" i="22"/>
  <c r="BV90" i="22"/>
  <c r="AD112" i="22"/>
  <c r="AT112" i="22"/>
  <c r="BR112" i="22"/>
  <c r="BV112" i="22"/>
  <c r="AD127" i="22"/>
  <c r="AT127" i="22"/>
  <c r="BR127" i="22"/>
  <c r="BV127" i="22"/>
  <c r="AD149" i="22"/>
  <c r="AT149" i="22"/>
  <c r="BR149" i="22"/>
  <c r="BV149" i="22"/>
  <c r="AD16" i="22"/>
  <c r="AT16" i="22"/>
  <c r="BR16" i="22"/>
  <c r="BV16" i="22"/>
  <c r="AD17" i="22"/>
  <c r="AT17" i="22"/>
  <c r="BR17" i="22"/>
  <c r="BV17" i="22"/>
  <c r="AD19" i="22"/>
  <c r="AT19" i="22"/>
  <c r="BR19" i="22"/>
  <c r="BV19" i="22"/>
  <c r="AD28" i="22"/>
  <c r="AT28" i="22"/>
  <c r="BR28" i="22"/>
  <c r="BV28" i="22"/>
  <c r="AD35" i="22"/>
  <c r="AT35" i="22"/>
  <c r="BR35" i="22"/>
  <c r="BV35" i="22"/>
  <c r="AD57" i="22"/>
  <c r="AT57" i="22"/>
  <c r="BR57" i="22"/>
  <c r="BV57" i="22"/>
  <c r="AD92" i="22"/>
  <c r="AT92" i="22"/>
  <c r="BR92" i="22"/>
  <c r="BV92" i="22"/>
  <c r="AD138" i="22"/>
  <c r="AT138" i="22"/>
  <c r="BR138" i="22"/>
  <c r="BV138" i="22"/>
  <c r="AD166" i="22"/>
  <c r="AT166" i="22"/>
  <c r="BR166" i="22"/>
  <c r="BV166" i="22"/>
  <c r="AD116" i="22"/>
  <c r="AT116" i="22"/>
  <c r="BR116" i="22"/>
  <c r="BV116" i="22"/>
  <c r="AD63" i="22"/>
  <c r="AT63" i="22"/>
  <c r="BR63" i="22"/>
  <c r="BV63" i="22"/>
  <c r="AD11" i="22"/>
  <c r="AT11" i="22"/>
  <c r="BR11" i="22"/>
  <c r="BV11" i="22"/>
  <c r="AD45" i="22"/>
  <c r="AT45" i="22"/>
  <c r="BR45" i="22"/>
  <c r="BV45" i="22"/>
  <c r="AD47" i="22"/>
  <c r="AT47" i="22"/>
  <c r="BR47" i="22"/>
  <c r="BV47" i="22"/>
  <c r="AD141" i="22"/>
  <c r="AT141" i="22"/>
  <c r="BR141" i="22"/>
  <c r="BV141" i="22"/>
  <c r="AD117" i="22"/>
  <c r="AT117" i="22"/>
  <c r="BR117" i="22"/>
  <c r="BV117" i="22"/>
  <c r="AD105" i="22"/>
  <c r="AT105" i="22"/>
  <c r="BR105" i="22"/>
  <c r="BV105" i="22"/>
  <c r="AD142" i="22"/>
  <c r="AT142" i="22"/>
  <c r="BR142" i="22"/>
  <c r="BV142" i="22"/>
  <c r="AD54" i="22"/>
  <c r="AT54" i="22"/>
  <c r="BR54" i="22"/>
  <c r="BV54" i="22"/>
  <c r="AD56" i="22"/>
  <c r="AT56" i="22"/>
  <c r="BR56" i="22"/>
  <c r="BV56" i="22"/>
  <c r="AD58" i="22"/>
  <c r="AT58" i="22"/>
  <c r="BR58" i="22"/>
  <c r="BV58" i="22"/>
  <c r="AD72" i="22"/>
  <c r="AT72" i="22"/>
  <c r="BR72" i="22"/>
  <c r="BV72" i="22"/>
  <c r="AD75" i="22"/>
  <c r="AT75" i="22"/>
  <c r="BR75" i="22"/>
  <c r="BV75" i="22"/>
  <c r="AD76" i="22"/>
  <c r="AT76" i="22"/>
  <c r="BR76" i="22"/>
  <c r="BV76" i="22"/>
  <c r="AD82" i="22"/>
  <c r="AT82" i="22"/>
  <c r="BR82" i="22"/>
  <c r="BV82" i="22"/>
  <c r="AD93" i="22"/>
  <c r="AT93" i="22"/>
  <c r="BR93" i="22"/>
  <c r="BV93" i="22"/>
  <c r="AD113" i="22"/>
  <c r="AT113" i="22"/>
  <c r="BR113" i="22"/>
  <c r="BV113" i="22"/>
  <c r="AD129" i="22"/>
  <c r="AT129" i="22"/>
  <c r="BR129" i="22"/>
  <c r="BV129" i="22"/>
  <c r="AD130" i="22"/>
  <c r="AT130" i="22"/>
  <c r="BR130" i="22"/>
  <c r="BV130" i="22"/>
  <c r="AD147" i="22"/>
  <c r="AT147" i="22"/>
  <c r="BR147" i="22"/>
  <c r="BV147" i="22"/>
  <c r="AD188" i="22"/>
  <c r="AT188" i="22"/>
  <c r="BR188" i="22"/>
  <c r="BV188" i="22"/>
  <c r="AD74" i="22"/>
  <c r="AT74" i="22"/>
  <c r="BR74" i="22"/>
  <c r="BV74" i="22"/>
  <c r="AD49" i="22"/>
  <c r="AT49" i="22"/>
  <c r="BR49" i="22"/>
  <c r="BV49" i="22"/>
  <c r="AD180" i="22"/>
  <c r="AT180" i="22"/>
  <c r="BR180" i="22"/>
  <c r="BV180" i="22"/>
  <c r="AD59" i="22"/>
  <c r="AT59" i="22"/>
  <c r="BR59" i="22"/>
  <c r="BV59" i="22"/>
  <c r="AD9" i="22"/>
  <c r="AT9" i="22"/>
  <c r="BR9" i="22"/>
  <c r="BV9" i="22"/>
  <c r="AD133" i="22"/>
  <c r="AT133" i="22"/>
  <c r="BR133" i="22"/>
  <c r="BV133" i="22"/>
  <c r="AD114" i="22"/>
  <c r="AT114" i="22"/>
  <c r="BR114" i="22"/>
  <c r="BV114" i="22"/>
  <c r="AD163" i="22"/>
  <c r="AT163" i="22"/>
  <c r="BR163" i="22"/>
  <c r="BV163" i="22"/>
  <c r="AD14" i="22"/>
  <c r="AT14" i="22"/>
  <c r="BR14" i="22"/>
  <c r="BV14" i="22"/>
  <c r="AD191" i="22"/>
  <c r="AT191" i="22"/>
  <c r="BR191" i="22"/>
  <c r="BV191" i="22"/>
  <c r="AD150" i="22"/>
  <c r="AT150" i="22"/>
  <c r="BR150" i="22"/>
  <c r="BV150" i="22"/>
  <c r="AD67" i="22"/>
  <c r="AT67" i="22"/>
  <c r="BR67" i="22"/>
  <c r="BV67" i="22"/>
  <c r="AD53" i="22"/>
  <c r="AT53" i="22"/>
  <c r="BR53" i="22"/>
  <c r="BV53" i="22"/>
  <c r="AD128" i="22"/>
  <c r="AT128" i="22"/>
  <c r="BR128" i="22"/>
  <c r="BV128" i="22"/>
  <c r="AD101" i="22"/>
  <c r="AT101" i="22"/>
  <c r="BR101" i="22"/>
  <c r="BV101" i="22"/>
  <c r="AD143" i="22"/>
  <c r="AT143" i="22"/>
  <c r="BR143" i="22"/>
  <c r="BV143" i="22"/>
  <c r="AD203" i="22"/>
  <c r="AT203" i="22"/>
  <c r="BR203" i="22"/>
  <c r="BV203" i="22"/>
  <c r="AD38" i="22"/>
  <c r="AT38" i="22"/>
  <c r="BR38" i="22"/>
  <c r="BV38" i="22"/>
  <c r="AD46" i="22"/>
  <c r="AT46" i="22"/>
  <c r="BR46" i="22"/>
  <c r="BV46" i="22"/>
  <c r="AD162" i="22"/>
  <c r="AT162" i="22"/>
  <c r="BR162" i="22"/>
  <c r="BV162" i="22"/>
  <c r="AD43" i="22"/>
  <c r="AT43" i="22"/>
  <c r="BR43" i="22"/>
  <c r="BV43" i="22"/>
  <c r="AD65" i="22"/>
  <c r="AT65" i="22"/>
  <c r="BR65" i="22"/>
  <c r="BV65" i="22"/>
  <c r="AD144" i="22"/>
  <c r="AT144" i="22"/>
  <c r="BR144" i="22"/>
  <c r="BV144" i="22"/>
  <c r="AD158" i="22"/>
  <c r="AT158" i="22"/>
  <c r="BR158" i="22"/>
  <c r="BV158" i="22"/>
  <c r="AD62" i="22"/>
  <c r="AT62" i="22"/>
  <c r="BR62" i="22"/>
  <c r="BV62" i="22"/>
  <c r="AD48" i="22"/>
  <c r="AT48" i="22"/>
  <c r="BR48" i="22"/>
  <c r="BV48" i="22"/>
  <c r="AD24" i="22"/>
  <c r="AT24" i="22"/>
  <c r="BR24" i="22"/>
  <c r="BV24" i="22"/>
  <c r="AD31" i="22"/>
  <c r="AT31" i="22"/>
  <c r="BR31" i="22"/>
  <c r="BV31" i="22"/>
  <c r="AD66" i="22"/>
  <c r="AT66" i="22"/>
  <c r="BR66" i="22"/>
  <c r="BV66" i="22"/>
  <c r="AD139" i="22"/>
  <c r="AT139" i="22"/>
  <c r="BR139" i="22"/>
  <c r="BV139" i="22"/>
  <c r="AD94" i="22"/>
  <c r="AT94" i="22"/>
  <c r="BR94" i="22"/>
  <c r="BV94" i="22"/>
  <c r="AD30" i="22"/>
  <c r="AT30" i="22"/>
  <c r="BR30" i="22"/>
  <c r="BV30" i="22"/>
  <c r="AD104" i="22"/>
  <c r="AT104" i="22"/>
  <c r="BR104" i="22"/>
  <c r="BV104" i="22"/>
  <c r="AD100" i="22"/>
  <c r="AT100" i="22"/>
  <c r="BR100" i="22"/>
  <c r="BV100" i="22"/>
  <c r="AD193" i="22"/>
  <c r="AT193" i="22"/>
  <c r="BR193" i="22"/>
  <c r="BV193" i="22"/>
  <c r="AD83" i="22"/>
  <c r="AT83" i="22"/>
  <c r="BR83" i="22"/>
  <c r="BV83" i="22"/>
  <c r="AD177" i="22"/>
  <c r="AT177" i="22"/>
  <c r="BR177" i="22"/>
  <c r="BV177" i="22"/>
  <c r="AD6" i="22"/>
  <c r="AT6" i="22"/>
  <c r="BR6" i="22"/>
  <c r="BV6" i="22"/>
  <c r="AD168" i="22"/>
  <c r="AT168" i="22"/>
  <c r="BR168" i="22"/>
  <c r="BV168" i="22"/>
  <c r="AD194" i="22"/>
  <c r="AT194" i="22"/>
  <c r="BR194" i="22"/>
  <c r="BV194" i="22"/>
  <c r="AD88" i="22"/>
  <c r="AT88" i="22"/>
  <c r="BR88" i="22"/>
  <c r="BV88" i="22"/>
  <c r="AD182" i="22"/>
  <c r="AT182" i="22"/>
  <c r="BR182" i="22"/>
  <c r="BV182" i="22"/>
  <c r="AD42" i="22"/>
  <c r="AT42" i="22"/>
  <c r="BR42" i="22"/>
  <c r="BV42" i="22"/>
  <c r="AD84" i="22"/>
  <c r="AT84" i="22"/>
  <c r="BR84" i="22"/>
  <c r="BV84" i="22"/>
  <c r="AD18" i="22"/>
  <c r="AT18" i="22"/>
  <c r="BR18" i="22"/>
  <c r="BV18" i="22"/>
  <c r="AD87" i="22"/>
  <c r="AT87" i="22"/>
  <c r="BR87" i="22"/>
  <c r="BV87" i="22"/>
  <c r="AD189" i="22"/>
  <c r="AT189" i="22"/>
  <c r="BR189" i="22"/>
  <c r="BV189" i="22"/>
  <c r="AD185" i="22"/>
  <c r="AT185" i="22"/>
  <c r="BR185" i="22"/>
  <c r="BV185" i="22"/>
  <c r="AD179" i="22"/>
  <c r="AT179" i="22"/>
  <c r="BR179" i="22"/>
  <c r="BV179" i="22"/>
  <c r="AD192" i="22"/>
  <c r="AT192" i="22"/>
  <c r="BR192" i="22"/>
  <c r="BV192" i="22"/>
  <c r="AD159" i="22"/>
  <c r="BR159" i="22"/>
  <c r="BV159" i="22"/>
  <c r="AE149" i="22" l="1"/>
  <c r="CF149" i="22" s="1"/>
  <c r="AE116" i="22"/>
  <c r="CF116" i="22" s="1"/>
  <c r="AE49" i="22"/>
  <c r="CF49" i="22" s="1"/>
  <c r="AE19" i="22"/>
  <c r="CF19" i="22" s="1"/>
  <c r="AE117" i="22"/>
  <c r="CF117" i="22" s="1"/>
  <c r="AE59" i="22"/>
  <c r="CF59" i="22" s="1"/>
  <c r="AE82" i="22"/>
  <c r="CF82" i="22" s="1"/>
  <c r="AE105" i="22"/>
  <c r="CF105" i="22" s="1"/>
  <c r="AE141" i="22"/>
  <c r="CF141" i="22" s="1"/>
  <c r="AE168" i="22"/>
  <c r="CF168" i="22" s="1"/>
  <c r="AE43" i="22"/>
  <c r="CF43" i="22" s="1"/>
  <c r="AE90" i="22"/>
  <c r="CF90" i="22" s="1"/>
  <c r="AE6" i="22"/>
  <c r="CF6" i="22" s="1"/>
  <c r="AE45" i="22"/>
  <c r="CF45" i="22" s="1"/>
  <c r="AE166" i="22"/>
  <c r="CF166" i="22" s="1"/>
  <c r="AE73" i="22"/>
  <c r="CF73" i="22" s="1"/>
  <c r="AE42" i="22"/>
  <c r="CF42" i="22" s="1"/>
  <c r="AE100" i="22"/>
  <c r="CF100" i="22" s="1"/>
  <c r="AE144" i="22"/>
  <c r="CF144" i="22" s="1"/>
  <c r="AE46" i="22"/>
  <c r="CF46" i="22" s="1"/>
  <c r="AE191" i="22"/>
  <c r="CF191" i="22" s="1"/>
  <c r="AE56" i="22"/>
  <c r="CF56" i="22" s="1"/>
  <c r="AE63" i="22"/>
  <c r="CF63" i="22" s="1"/>
  <c r="AE133" i="22"/>
  <c r="CF133" i="22" s="1"/>
  <c r="AE138" i="22"/>
  <c r="CF138" i="22" s="1"/>
  <c r="AE179" i="22"/>
  <c r="CF179" i="22" s="1"/>
  <c r="AE75" i="22"/>
  <c r="CF75" i="22" s="1"/>
  <c r="AE104" i="22"/>
  <c r="CF104" i="22" s="1"/>
  <c r="AE139" i="22"/>
  <c r="CF139" i="22" s="1"/>
  <c r="AE128" i="22"/>
  <c r="CF128" i="22" s="1"/>
  <c r="AE147" i="22"/>
  <c r="CF147" i="22" s="1"/>
  <c r="AE92" i="22"/>
  <c r="CF92" i="22" s="1"/>
  <c r="AE8" i="22"/>
  <c r="CF8" i="22" s="1"/>
  <c r="AE83" i="22"/>
  <c r="CF83" i="22" s="1"/>
  <c r="AE150" i="22"/>
  <c r="CF150" i="22" s="1"/>
  <c r="AE11" i="22"/>
  <c r="CF11" i="22" s="1"/>
  <c r="AE74" i="22"/>
  <c r="CF74" i="22" s="1"/>
  <c r="AE14" i="22"/>
  <c r="CF14" i="22" s="1"/>
  <c r="AE180" i="22"/>
  <c r="CF180" i="22" s="1"/>
  <c r="AE93" i="22"/>
  <c r="CF93" i="22" s="1"/>
  <c r="AE28" i="22"/>
  <c r="CF28" i="22" s="1"/>
  <c r="AE189" i="22"/>
  <c r="CF189" i="22" s="1"/>
  <c r="AE194" i="22"/>
  <c r="CF194" i="22" s="1"/>
  <c r="AE31" i="22"/>
  <c r="CF31" i="22" s="1"/>
  <c r="AE65" i="22"/>
  <c r="CF65" i="22" s="1"/>
  <c r="AE143" i="22"/>
  <c r="CF143" i="22" s="1"/>
  <c r="AE57" i="22"/>
  <c r="CF57" i="22" s="1"/>
  <c r="AE203" i="22"/>
  <c r="CF203" i="22" s="1"/>
  <c r="AE142" i="22"/>
  <c r="CF142" i="22" s="1"/>
  <c r="AE185" i="22"/>
  <c r="CF185" i="22" s="1"/>
  <c r="AE84" i="22"/>
  <c r="CF84" i="22" s="1"/>
  <c r="AE193" i="22"/>
  <c r="CF193" i="22" s="1"/>
  <c r="AE47" i="22"/>
  <c r="CF47" i="22" s="1"/>
  <c r="AE16" i="22"/>
  <c r="CF16" i="22" s="1"/>
  <c r="AE159" i="22"/>
  <c r="CF159" i="22" s="1"/>
  <c r="AE18" i="22"/>
  <c r="CF18" i="22" s="1"/>
  <c r="AE177" i="22"/>
  <c r="CF177" i="22" s="1"/>
  <c r="AE66" i="22"/>
  <c r="CF66" i="22" s="1"/>
  <c r="AE24" i="22"/>
  <c r="CF24" i="22" s="1"/>
  <c r="AE163" i="22"/>
  <c r="CF163" i="22" s="1"/>
  <c r="AE130" i="22"/>
  <c r="CF130" i="22" s="1"/>
  <c r="AE54" i="22"/>
  <c r="CF54" i="22" s="1"/>
  <c r="AE114" i="22"/>
  <c r="CF114" i="22" s="1"/>
  <c r="AE182" i="22"/>
  <c r="CF182" i="22" s="1"/>
  <c r="AE30" i="22"/>
  <c r="CF30" i="22" s="1"/>
  <c r="AE62" i="22"/>
  <c r="CF62" i="22" s="1"/>
  <c r="AE53" i="22"/>
  <c r="CF53" i="22" s="1"/>
  <c r="AE9" i="22"/>
  <c r="CF9" i="22" s="1"/>
  <c r="AE72" i="22"/>
  <c r="CF72" i="22" s="1"/>
  <c r="AE35" i="22"/>
  <c r="CF35" i="22" s="1"/>
  <c r="AE129" i="22"/>
  <c r="CF129" i="22" s="1"/>
  <c r="AE87" i="22"/>
  <c r="CF87" i="22" s="1"/>
  <c r="AE88" i="22"/>
  <c r="CF88" i="22" s="1"/>
  <c r="AE94" i="22"/>
  <c r="CF94" i="22" s="1"/>
  <c r="AE158" i="22"/>
  <c r="CF158" i="22" s="1"/>
  <c r="AE101" i="22"/>
  <c r="CF101" i="22" s="1"/>
  <c r="AE188" i="22"/>
  <c r="CF188" i="22" s="1"/>
  <c r="AE113" i="22"/>
  <c r="CF113" i="22" s="1"/>
  <c r="AE58" i="22"/>
  <c r="CF58" i="22" s="1"/>
  <c r="AE192" i="22"/>
  <c r="CF192" i="22" s="1"/>
  <c r="AE48" i="22"/>
  <c r="CF48" i="22" s="1"/>
  <c r="AE38" i="22"/>
  <c r="CF38" i="22" s="1"/>
  <c r="AE67" i="22"/>
  <c r="CF67" i="22" s="1"/>
  <c r="AE76" i="22"/>
  <c r="CF76" i="22" s="1"/>
  <c r="AE17" i="22"/>
  <c r="CF17" i="22" s="1"/>
  <c r="AE77" i="22"/>
  <c r="CF77" i="22" s="1"/>
  <c r="AE162" i="22"/>
  <c r="CF162" i="22" s="1"/>
  <c r="AE127" i="22"/>
  <c r="CF127" i="22" s="1"/>
  <c r="AE112" i="22"/>
  <c r="CF112" i="22" s="1"/>
</calcChain>
</file>

<file path=xl/sharedStrings.xml><?xml version="1.0" encoding="utf-8"?>
<sst xmlns="http://schemas.openxmlformats.org/spreadsheetml/2006/main" count="2096" uniqueCount="366">
  <si>
    <t>CEDULA</t>
  </si>
  <si>
    <t>NOMBRE DEL EMPLEADO</t>
  </si>
  <si>
    <t>FECHA INGRESO (D/M/A)</t>
  </si>
  <si>
    <t>FECHA DE RETIRO (D/M/A)</t>
  </si>
  <si>
    <t>MES</t>
  </si>
  <si>
    <t>POBLACIÓN</t>
  </si>
  <si>
    <t>SALARIO BASICO</t>
  </si>
  <si>
    <t>TOTAL # H.E.</t>
  </si>
  <si>
    <t>TOTAL HORAS EXTRAS SIN R.N.</t>
  </si>
  <si>
    <t>TOTAL $ RECARGO NOCTURNO</t>
  </si>
  <si>
    <t>BONIFICACION SALARIAL</t>
  </si>
  <si>
    <t>VACACIONES</t>
  </si>
  <si>
    <t>PENSION 12%</t>
  </si>
  <si>
    <t>ARP</t>
  </si>
  <si>
    <t>TOTAL S.S.</t>
  </si>
  <si>
    <t>CAJA DE COMP 4%</t>
  </si>
  <si>
    <t>INT. CESANTIAS 1%</t>
  </si>
  <si>
    <t>TOTAL NOMINA S.S.PARAFI PRESTA</t>
  </si>
  <si>
    <t>SUBTOTAL FACTURA</t>
  </si>
  <si>
    <t>BONIFICACION NO CONSTITUTIVA DE SALARIO</t>
  </si>
  <si>
    <t>TRANSPORTE EXTRALEGAL AUT. POR CL</t>
  </si>
  <si>
    <t>MAYOR VALOR PAGADO AUX. DE RODAMIENTO</t>
  </si>
  <si>
    <t>MAY. VALOR PAGADO EN AUX. TRANS</t>
  </si>
  <si>
    <t>OTROS CONCEPTOS FACTURABLES PRESTACIONALES</t>
  </si>
  <si>
    <t>CONCEPTOS NO CONTEMPLADOS SUPPLA- NO PRESTACIONALES CON SERVICIOS</t>
  </si>
  <si>
    <t>SALUD PATRONO</t>
  </si>
  <si>
    <t>EMPRESA</t>
  </si>
  <si>
    <t>TIPO DE VINCULACIÓN</t>
  </si>
  <si>
    <t>COST CENTER</t>
  </si>
  <si>
    <t>COST CENTER NAME</t>
  </si>
  <si>
    <t>CARGO NOMINA</t>
  </si>
  <si>
    <t>CARGO MELI</t>
  </si>
  <si>
    <t>TIPO DE DOTACION</t>
  </si>
  <si>
    <t>TIPO DE CARGO</t>
  </si>
  <si>
    <t>DIAS PAGO NOMINA</t>
  </si>
  <si>
    <t>SALARIO A PAGAR</t>
  </si>
  <si>
    <t>SUBSIDIO DE TRANSPORTE</t>
  </si>
  <si>
    <t>HRS. HORA EXTRA DIURNA - 1,25</t>
  </si>
  <si>
    <t>VR. HORA EXTRA DIURNA - 1,25</t>
  </si>
  <si>
    <t>HRS. HORA EXTRA NOCTURNA - 1,75</t>
  </si>
  <si>
    <t>VR. HORA EXTRA NOCTURNA - 1,75</t>
  </si>
  <si>
    <t>NO.HORA ORD DOMINICAL 175</t>
  </si>
  <si>
    <t>HRS. EXTRA HORA DOM/FEST. NOCTURNA 2.50%</t>
  </si>
  <si>
    <t>VR. EXTRA HORA DOM/FEST. NOCTURNA 2.50%</t>
  </si>
  <si>
    <t>HRS. HORA EXTRA DOMINICAL Y FESTIVA DIURNA 2.00%</t>
  </si>
  <si>
    <t>VR. HORA EXTRA DOMINICAL Y FESTIVA DIURNA 2.00%</t>
  </si>
  <si>
    <t>HRS. RECARGO FESTIVO NOCTURNO - 2,1</t>
  </si>
  <si>
    <t>VR. RECARGO FESTIVO NOCTURNO - 2,1</t>
  </si>
  <si>
    <t>HRS. HORA DOMINICAL Y FESTIVO CON COMPENSATORIO DIUR 1.00%</t>
  </si>
  <si>
    <t>VR. HORA DOMINICAL Y FESTIVO CON COMPENSATORIO DIUR 1.00%</t>
  </si>
  <si>
    <t>HRS HORA DOMINICAL Y FESTIVO CON COMPENSATORIO NOC 1.35%</t>
  </si>
  <si>
    <t>VR. HORA DOMINICAL Y FESTIVO CON COMPENSATORIO NOC 1.35%</t>
  </si>
  <si>
    <t>HRS RECARGO NOCTURNO - 0,35</t>
  </si>
  <si>
    <t>VR. RECARGO NOCTURNO - 0,35</t>
  </si>
  <si>
    <t>TOTAL NO. RECARGO NOCTURNO</t>
  </si>
  <si>
    <t>REAJUSTE RECARGOS</t>
  </si>
  <si>
    <t>REAJUSTE H.E</t>
  </si>
  <si>
    <t>REAJUSTE SALARIAL</t>
  </si>
  <si>
    <t>REAJUSTE AUSENCIAS JUSTIFICADAS</t>
  </si>
  <si>
    <t>REAJUSTE VACACIONES</t>
  </si>
  <si>
    <t>DIAS AUSENCIAS JUSTIFICADAS SIN COBRO (Vac. Habiles, inc 66,67%)</t>
  </si>
  <si>
    <t>VALOR AUSENCIAS JUSTIFICADAS SIN COBRO (Vac. Habiles, inc 66,67%)</t>
  </si>
  <si>
    <t>AUXILIO DE RODAMIENTO</t>
  </si>
  <si>
    <t>MAY. VALOR PAGADO EN SALARIO</t>
  </si>
  <si>
    <t>BENEFICIOS</t>
  </si>
  <si>
    <t>EXAMENES MEDICOS SERVICIOS</t>
  </si>
  <si>
    <t>SENA</t>
  </si>
  <si>
    <t>ICBF</t>
  </si>
  <si>
    <t>VALOR PARAFISCALES</t>
  </si>
  <si>
    <t>CESANTIAS 8.33%</t>
  </si>
  <si>
    <t>PRIMA 8.33%</t>
  </si>
  <si>
    <t>VACACIONES 4.34%</t>
  </si>
  <si>
    <t>IMPREVISTOS</t>
  </si>
  <si>
    <t>VALOR PRESTACIONES</t>
  </si>
  <si>
    <t>ADMINISTRACION</t>
  </si>
  <si>
    <t>BONIFICACION DIRECTIVO</t>
  </si>
  <si>
    <t>PRORRATEO</t>
  </si>
  <si>
    <t>TOTAL NOMINA</t>
  </si>
  <si>
    <t>Observacion</t>
  </si>
  <si>
    <t>VA.HORA ORD DOMINICAL 175</t>
  </si>
  <si>
    <t>HRS. RECARGO DOMINICAL NOCTURNO - 2,10</t>
  </si>
  <si>
    <t>VR. RECARGO DOMINICAL NOCTURNO - 2,10</t>
  </si>
  <si>
    <t>EXCEDENTE SS</t>
  </si>
  <si>
    <t>TEMPORAL</t>
  </si>
  <si>
    <t>FUNZA ZOL</t>
  </si>
  <si>
    <t>FUNZA</t>
  </si>
  <si>
    <t>ESTRELLA IN HOUSE</t>
  </si>
  <si>
    <t>LA ESTRELLA</t>
  </si>
  <si>
    <t>BTA AMERICAS</t>
  </si>
  <si>
    <t>BOGOTA</t>
  </si>
  <si>
    <t>PEREIRA IN HOUSE.MERCADO LIBRE</t>
  </si>
  <si>
    <t>PEREIRA</t>
  </si>
  <si>
    <t>CORTIJO 9</t>
  </si>
  <si>
    <t>YUMBO</t>
  </si>
  <si>
    <t>AUXILIAR OPERATIVO</t>
  </si>
  <si>
    <t>ADECCO COLOMBIA S.A.</t>
  </si>
  <si>
    <t>AUXILIAR</t>
  </si>
  <si>
    <t xml:space="preserve">GI GROUP </t>
  </si>
  <si>
    <t>GIRON IN HOUSE</t>
  </si>
  <si>
    <t>BUCARAMANGA</t>
  </si>
  <si>
    <t>GARCIA PALACIOS MARIO ALBERTO</t>
  </si>
  <si>
    <t xml:space="preserve">MARRUGO PLAZA OMAIRA DEL CARMEN </t>
  </si>
  <si>
    <t>CURIEL RAMIREZ HELMER JAVIER</t>
  </si>
  <si>
    <t>JIMENEZ BLANDON NATALIA ANDREA</t>
  </si>
  <si>
    <t>AUXILIAR ADMINISTRATIVO</t>
  </si>
  <si>
    <t>PLAZAS LARA ARNOLD SOREM</t>
  </si>
  <si>
    <t>MONTES GONZALEZ DANIEL</t>
  </si>
  <si>
    <t>AUXILIAR OPERATIVO MONTACARGAS</t>
  </si>
  <si>
    <t>BENAVIDES HERRERA PAOLA JUDITH</t>
  </si>
  <si>
    <t>CADENA ACEVEDO RODOLFO ALBERTO</t>
  </si>
  <si>
    <t>IBAGUE IN HOUSE</t>
  </si>
  <si>
    <t>IBAGUE</t>
  </si>
  <si>
    <t>HERRERA ROMAN ANGIE MARCELA</t>
  </si>
  <si>
    <t>GARCÍA ESCALANTE JULIANA</t>
  </si>
  <si>
    <t>GALINDO LEON DANIEL ESTEBAN</t>
  </si>
  <si>
    <t>CASTAÑEDA ALCANTAR LEIDY MARCELA</t>
  </si>
  <si>
    <t>MADRID RAMOS LUIS JUNIOR</t>
  </si>
  <si>
    <t>NIÑO DE LA PAVA JHON JAIRO</t>
  </si>
  <si>
    <t>CASTILLO TOMBE CRISTIAN ALEJANDRO</t>
  </si>
  <si>
    <t>RIAÑO BLANCO YAIR ALFREDO</t>
  </si>
  <si>
    <t>ALCAZAR VALQUEZ DEIVINSON RAFAEL</t>
  </si>
  <si>
    <t>SILVA SORACÁ MARIA ALEJANDRA</t>
  </si>
  <si>
    <t>QUIÑONES BENAVIDES SEBASTIAN CAMILO</t>
  </si>
  <si>
    <t>LEÓN BETANCOURT LAURA VALENTINA</t>
  </si>
  <si>
    <t>SUAREZ HERNANDEZ LAURA MARCELA</t>
  </si>
  <si>
    <t>GARCIA MORENO BRAYAN  STEVEN</t>
  </si>
  <si>
    <t>HINESTROZA BLANCO MILEYDY YOHANA</t>
  </si>
  <si>
    <t>RIVAS LONGA JHOJAN JAVIER</t>
  </si>
  <si>
    <t>ACERO CHAÑA SERGIO DAVID</t>
  </si>
  <si>
    <t>DUQUINO GUEVARA CHAREN DAHIANA</t>
  </si>
  <si>
    <t>MOSQUERA CORTES ILSON</t>
  </si>
  <si>
    <t>RODRIGUEZ MUÑOZ IVAN ENRIQUE</t>
  </si>
  <si>
    <t>VILLALOBOS PALOMINO YOIRA MARINA</t>
  </si>
  <si>
    <t>NAVARRETE MORENO JUAN CARLOS</t>
  </si>
  <si>
    <t>LÓPEZ GARCÍA FABIÁN ANDRÉS</t>
  </si>
  <si>
    <t>LUCUMI LANDAZURI GUSTAVO ADOLFO</t>
  </si>
  <si>
    <t>PUERTA BARRIOS JESUS DAVID</t>
  </si>
  <si>
    <t>ESTUPIÑAN MEDINA JESUS DAVID</t>
  </si>
  <si>
    <t>ARGOTE OROZCO JHONNER STIP</t>
  </si>
  <si>
    <t>PARDO YANTEN YENNI ALEJANDRA</t>
  </si>
  <si>
    <t>PEREZ MIRQUEZ JHONATAN DANIEL</t>
  </si>
  <si>
    <t>DÍAZ ROJAS NASLY LORENA</t>
  </si>
  <si>
    <t>OBANDO ZAMBRANO CHRISTIAN  ALEJANDRO</t>
  </si>
  <si>
    <t xml:space="preserve"> FORERO  ORTEGON LUIS ALBERTO</t>
  </si>
  <si>
    <t>GALLARDO ANGULO JHON  FREDY</t>
  </si>
  <si>
    <t>BASTILLA DUEÑAS YOHANA</t>
  </si>
  <si>
    <t>MANOSALVA CACERES YEISON JAVIER</t>
  </si>
  <si>
    <t>CARABALI GONZÁLEZ ANDRES JOHAN</t>
  </si>
  <si>
    <t>ALVAREZ CHARU CRISTIAN CAMILO</t>
  </si>
  <si>
    <t>ORTIZ BUSTOS MAICOL NICOLÁS</t>
  </si>
  <si>
    <t>GARIVELLO PARRA JUAN DAVID</t>
  </si>
  <si>
    <t>RODRIGUEZ PAEZ JOAQUIN JAVIER</t>
  </si>
  <si>
    <t>CEBALLOS GUTIERREZ JHON ALEJANDRO</t>
  </si>
  <si>
    <t>LUQUE AMAYA CARLOS  FELIPE</t>
  </si>
  <si>
    <t>REY SAENZ MARLON STUARD</t>
  </si>
  <si>
    <t>BELLO LOPEZ CRISTIAN CAMILO</t>
  </si>
  <si>
    <t>GOMEZ AVILA DIEGO FERNEY</t>
  </si>
  <si>
    <t>COLIMBA CUASTUMAL ANTONY NAYBETH</t>
  </si>
  <si>
    <t>PEREZ TORRES JEAN  PIERRE</t>
  </si>
  <si>
    <t>ANGULO  ATIS ANDRES  EDUARDO</t>
  </si>
  <si>
    <t>GIRALDO TABARES DUVAN FELIPE</t>
  </si>
  <si>
    <t>VELEZ CORREA JOHN JAMES</t>
  </si>
  <si>
    <t>MADRIGAL RAMIREZ HEIDER LEXEY</t>
  </si>
  <si>
    <t>HOYOS VELASQUEZ OSMEIDER RAFAEL</t>
  </si>
  <si>
    <t>MANTILLA MANTILLA GUSTAVO ADOLFO</t>
  </si>
  <si>
    <t>MAYORGA BELTRAN ANJIE DANIELA</t>
  </si>
  <si>
    <t>OVIEDO HUEPA WILMER</t>
  </si>
  <si>
    <t>CUCUNUBA MENDIVELSO FREDY</t>
  </si>
  <si>
    <t>MALDONADO VERA INGRID CATALINA</t>
  </si>
  <si>
    <t>GARZÓN GUTIÉRREZ JUAN DAVID</t>
  </si>
  <si>
    <t>CARREÑO LOPEZ MAIRA ALEJANDRA</t>
  </si>
  <si>
    <t>MEDINA CANTILLO ADELA INES</t>
  </si>
  <si>
    <t>DUQUE PUENTES ANDRES FELIPE</t>
  </si>
  <si>
    <t>PINTO  CRISTIAN DAVID</t>
  </si>
  <si>
    <t>CARVAJAL OTAVO JOHAN FELIPE</t>
  </si>
  <si>
    <t>BARRETO RODRIGUEZ ANDERSON  STIVEN</t>
  </si>
  <si>
    <t>PEREZ SUAREZ JESUS MANUEL</t>
  </si>
  <si>
    <t>BALANTA OSSA JOHINER</t>
  </si>
  <si>
    <t>SANCHEZ GARCIA MARIA FERNANDA</t>
  </si>
  <si>
    <t>SUAREZ PEÑA INGRID JINED</t>
  </si>
  <si>
    <t>ANACONA OME JEIDY JOHANA</t>
  </si>
  <si>
    <t>SALDARRIAGA MANOTAS BRINA ESTHER</t>
  </si>
  <si>
    <t>MACHUCA DIAZ ANGIE PAOLA</t>
  </si>
  <si>
    <t>FUENTES MEJIA OVER ANTONIO</t>
  </si>
  <si>
    <t>MEJÍA CALDERON ADRIANA MAGNOLIA</t>
  </si>
  <si>
    <t>RODRIGUEZ CARDENAS NEIDI YULIED</t>
  </si>
  <si>
    <t>CUBIDES MALAGON ANDRES FELIPE</t>
  </si>
  <si>
    <t>GUTIERREZ HENAO NATALIA</t>
  </si>
  <si>
    <t>ACOSTA FLOREZ ALEJANDRA</t>
  </si>
  <si>
    <t>SALAZAR ESQUIVEL CATHERIN</t>
  </si>
  <si>
    <t>TUNJA IN HOUSE</t>
  </si>
  <si>
    <t>TUNJA</t>
  </si>
  <si>
    <t>GUERRO FLOREZ JORGE LUIS</t>
  </si>
  <si>
    <t>AGUIRRE GUZMAN JOHN FREDY</t>
  </si>
  <si>
    <t>CASTELLANOS CHACON JUAN DAVID</t>
  </si>
  <si>
    <t>VELANDIA CAÑON CARLOS DUVAN</t>
  </si>
  <si>
    <t>MILLAN SABOGAL PEDRO MIGUEL</t>
  </si>
  <si>
    <t>LANDAZABAL MARTINEZ JULIO CESAR</t>
  </si>
  <si>
    <t>CORREAL BERMUDEZ BRAYAN STIVEN</t>
  </si>
  <si>
    <t>CARVAJAL DIAZ EDWIAN  DAMIAN</t>
  </si>
  <si>
    <t>ZAPATA PEREZ JOSE DANIEL</t>
  </si>
  <si>
    <t>ACOSTA RAMIREZ LAURA VALENTINA</t>
  </si>
  <si>
    <t>BARRERA CUEVAS RONAL YESID</t>
  </si>
  <si>
    <t>RODRIGUEZ PONTON DEIMER</t>
  </si>
  <si>
    <t>RAMÍREZ LOZANO LAURA VALENTINA</t>
  </si>
  <si>
    <t>BORNACHERA CHAPARRO MIGUEL ANGEL</t>
  </si>
  <si>
    <t>ROBLES PRIETO NEIDER  YESID</t>
  </si>
  <si>
    <t>BETANCOURT ISAAC ROBERT STEVEN</t>
  </si>
  <si>
    <t>BOLAÑOS HERRERA OSCAR EDUARDO</t>
  </si>
  <si>
    <t>PAIPA MONGUI LUZ MARY</t>
  </si>
  <si>
    <t>MORALES CONTRERAS HEADER KATLEEN</t>
  </si>
  <si>
    <t>BELTRÁN QUINTERO RENZO RENE</t>
  </si>
  <si>
    <t>CASTRO ROBAYO JAVIER MAURICIO</t>
  </si>
  <si>
    <t>BEJARANO PARRADO ANA MARIA</t>
  </si>
  <si>
    <t>VARGAS QUINTERO LUIS EDUARDO</t>
  </si>
  <si>
    <t>ORTIZ SILVA JUAN DAVID</t>
  </si>
  <si>
    <t>SORIANO CHINCHILLA FRANKLIN JAVIER</t>
  </si>
  <si>
    <t>GALEANO ORTEGA MICHAEL STEBEN</t>
  </si>
  <si>
    <t>COSSIO GUEVAR HARLEN ANDRES</t>
  </si>
  <si>
    <t>MESA NAVARRO JUAN SEBASTIAN</t>
  </si>
  <si>
    <t>HASTAMORIR GONZALEZ GHYLVER ALEXANDER</t>
  </si>
  <si>
    <t>SANCHEZ CASTRO JAVIER GUSTAVO</t>
  </si>
  <si>
    <t>GUTIERREZ FERNANDEZ DEIVY SANTIAGO</t>
  </si>
  <si>
    <t>CASTELLANOS PINZON MICHEL TATIANA</t>
  </si>
  <si>
    <t>FERNANDEZ GONZALEZ DIEGO  FERNANDO</t>
  </si>
  <si>
    <t>LOPEZ CAICEDO SANTIAGO ALEJANDRO</t>
  </si>
  <si>
    <t>BUITRAGO MENDEZ JHON WILLIAM</t>
  </si>
  <si>
    <t>GUERRERO LOPEZ ROBINSON FABIAN</t>
  </si>
  <si>
    <t>PAREJA CALERO ANDRES FELIPE</t>
  </si>
  <si>
    <t>CUERO MONTAÑO RONALD STEVEN</t>
  </si>
  <si>
    <t>CARRILLO BOHÓRQUEZ JEISON CAMILO</t>
  </si>
  <si>
    <t>ROJAS MEJIA HORLAY</t>
  </si>
  <si>
    <t>VELEZ DUQUE YERSON DE JESUS</t>
  </si>
  <si>
    <t>MARIÑO CAÑIZARES JOHAN STIVEN</t>
  </si>
  <si>
    <t>SARMIENTO GOMEZ AARONESTEBAN</t>
  </si>
  <si>
    <t>EXAMEN MEDICO</t>
  </si>
  <si>
    <t>DE LA HOZ FONTALVO DIEGO SEBASTIAN</t>
  </si>
  <si>
    <t>GARCIA MONTIEL JOSEB FERNANDO</t>
  </si>
  <si>
    <t>GUAYACAN REYES INGRID TATIANA</t>
  </si>
  <si>
    <t>OSPINO MENDOZA YULY KEISY</t>
  </si>
  <si>
    <t>BAQUERO SANDOVAL MIGUEL ALEJANDRO</t>
  </si>
  <si>
    <t>LARA BORJA ANÍBAL SANTIAGO</t>
  </si>
  <si>
    <t xml:space="preserve"> PARRA ACOSTA LIZETH CAROLINA</t>
  </si>
  <si>
    <t>SINISTERRA VIAFARA JHON JAIRO</t>
  </si>
  <si>
    <t>LOAIZA MORALES JUAN CAMILO</t>
  </si>
  <si>
    <t>PRECIADO CORTES CARLOS HERNAN</t>
  </si>
  <si>
    <t>SARMIENTO DUARTE BRAYAN DUVAN</t>
  </si>
  <si>
    <t xml:space="preserve"> PEREZ CASTELLANOS DIANA  MAYERLI</t>
  </si>
  <si>
    <t>FERNANDEZ PEÑA JEFERSON</t>
  </si>
  <si>
    <t>SANCHEZ  ORDOÑEZ JOHAO  PAULLIÑO</t>
  </si>
  <si>
    <t>YANES DIAZ JHON ANDER</t>
  </si>
  <si>
    <t>MUÑOZ CHICUASUQUE ANDREA SEBASTIAN</t>
  </si>
  <si>
    <t>DELGADO SALAMANCA JUNIOR ANDRES</t>
  </si>
  <si>
    <t xml:space="preserve"> VARGAS TORRES JOHANS  ALEXANDER</t>
  </si>
  <si>
    <t>SOLORZANO  MARTINEZ SERGIO DANIEL</t>
  </si>
  <si>
    <t xml:space="preserve"> ALEGRIA CHAVEZ JENNY MAGALLI</t>
  </si>
  <si>
    <t>CORTES CORREA VIVIANA  MARGARITA</t>
  </si>
  <si>
    <t>VALDERRAMA  GODOY HARY  DAYANA</t>
  </si>
  <si>
    <t>CASTILLO PARRADO MICHAEL ANDRES</t>
  </si>
  <si>
    <t>NIÑO TAUTIVA JAMERS YESID</t>
  </si>
  <si>
    <t>MWLO GONZALEZ KAREN GERALDINE</t>
  </si>
  <si>
    <t>VILLAMIL RODRIGUEZ LEIDY EDUARDO</t>
  </si>
  <si>
    <t>VELEZ RODRIGUEZ JHON EDUARDO</t>
  </si>
  <si>
    <t>VIATELA RODRIGUEZ JONATAN SANTIAGO</t>
  </si>
  <si>
    <t>VERA FONSECA MICHAEL  ESTIVEN</t>
  </si>
  <si>
    <t>RODRÍGUEZ BUITRAGO FLOR PATRICIA</t>
  </si>
  <si>
    <t>CELIS  LESMES JULIO  CESAR</t>
  </si>
  <si>
    <t>AGRAY MURCIA YENNI DANIELA</t>
  </si>
  <si>
    <t xml:space="preserve"> MUÑOZ  RIOS GENARITO SEBASTIAN</t>
  </si>
  <si>
    <t>SUAREZ BEDOYA ADRIANA MARIA</t>
  </si>
  <si>
    <t>MONTAÑA GALINDO YEFERSON DANIELA</t>
  </si>
  <si>
    <t>DONATO CIFUENTES GLORIA AZUCENA</t>
  </si>
  <si>
    <t>GARAVITO VARGAS MONICA JULIETH</t>
  </si>
  <si>
    <t>TOSCANO VARGAS JEISON ESTEBAN</t>
  </si>
  <si>
    <t>SÁNCHEZ GONZÁLEZ JHON EDISON</t>
  </si>
  <si>
    <t>VANEGAS ORDOÑEZ BLANCA INES</t>
  </si>
  <si>
    <t>GARCÍA BOJACA OSCAR DUVAN</t>
  </si>
  <si>
    <t>MONROY JIMENEZ JUAN SEBASTIAN</t>
  </si>
  <si>
    <t>SUAREZ GONZALEZ NATALY</t>
  </si>
  <si>
    <t>SÁNCHEZ BELLO DERLY YAKELIN</t>
  </si>
  <si>
    <t>BALLEN LOPEZ YURY LORENA</t>
  </si>
  <si>
    <t>VARGAS CARRILLO HASLEY  MANUELA</t>
  </si>
  <si>
    <t>SUAREZ CARRILLO KEVIN  ARLEY</t>
  </si>
  <si>
    <t>CARRERO  DIAZ ZULY  YINETH</t>
  </si>
  <si>
    <t>GONZÁLEZ CATAÑO ERIKA YISEL</t>
  </si>
  <si>
    <t>Cédula</t>
  </si>
  <si>
    <t>AGOSTO</t>
  </si>
  <si>
    <t>ANALISTA</t>
  </si>
  <si>
    <t>GONZALEZ  BEDOYA JAIDER  CAMILO</t>
  </si>
  <si>
    <t>ACOSTA HERRERA CRISTIAN CAMILO</t>
  </si>
  <si>
    <t>RODRIGUEZ QUINTERO JULIAN OSWALDO</t>
  </si>
  <si>
    <t>MURILLO CAMARGO MIGUEL ANGEL</t>
  </si>
  <si>
    <t>BEJARANO PADILLA ANDERSON DAVID</t>
  </si>
  <si>
    <t>HERNÁNDEZ CARPETA JEISON FERNANDO</t>
  </si>
  <si>
    <t>MENDOZA CORTÉS JEIMMY KATHERINE</t>
  </si>
  <si>
    <t>CARO PEÑA ERIKA LIZET</t>
  </si>
  <si>
    <t>PEREZ LINARES MIGUEL ANGEL</t>
  </si>
  <si>
    <t>CAMACHO MIGUEZ DIANA  ALEXANDRA</t>
  </si>
  <si>
    <t>CALDERON PEREZ CARLOS ANDRES</t>
  </si>
  <si>
    <t>VARGAS  ALEXANDRA</t>
  </si>
  <si>
    <t>QUINTERO GOMEZ CRISTIAN HERNANDO</t>
  </si>
  <si>
    <t>QUICENO ROBAYO ANDRÉS FELIPE</t>
  </si>
  <si>
    <t>VIRGUEZ ACEVEDO ESTEBAN ALEJANDRO</t>
  </si>
  <si>
    <t>BERNAL RODRÍGUEZ JORGE LEONARDO</t>
  </si>
  <si>
    <t>HERNÁNDEZ OVIEDO JULIÁN ANDRÉS</t>
  </si>
  <si>
    <t>VANEGAS LEON JENNY ANDREA</t>
  </si>
  <si>
    <t>PEÑA GÓMEZ DORIS YAMILE</t>
  </si>
  <si>
    <t>BASTIDAS BELTRAN JOSE ANDRES</t>
  </si>
  <si>
    <t>GARZON PEÑA FLOR ALIDA</t>
  </si>
  <si>
    <t>PRADO PALACIOS YADIRA</t>
  </si>
  <si>
    <t>BERMUDEZ MOJICA LISBET DANIELA</t>
  </si>
  <si>
    <t>FRANCO MORENO LINDA  KATHERINE</t>
  </si>
  <si>
    <t>FIQUE ALARCON JHOANN  LEONARDO</t>
  </si>
  <si>
    <t>TOBAR ISAZA HUGO ALEXANDER</t>
  </si>
  <si>
    <t>BUITRAGO DIAZ SULLY PAOLA</t>
  </si>
  <si>
    <t>CASTIBLANCO PULIDO DANIELA</t>
  </si>
  <si>
    <t>ESPINOSA BARRAGAN JHOANNA LIZETH</t>
  </si>
  <si>
    <t>RUIZ BLANCO JOSÉ FRANKLIN</t>
  </si>
  <si>
    <t>OLMOS HIDALGO IVONNE SHARITH</t>
  </si>
  <si>
    <t>LADINO PEREZ SOLANYI ANDREA</t>
  </si>
  <si>
    <t>ARRIETA MONTERROZA JAIRO LUIS</t>
  </si>
  <si>
    <t>AREVALO FARFAN NIDIA  JAZMIN</t>
  </si>
  <si>
    <t>ORTIZ CHACUA RUBY MARCELA</t>
  </si>
  <si>
    <t>ARTEAGA ACOSTA JUAN CAMILO</t>
  </si>
  <si>
    <t>ANGULO RODRIGUEZ NATALIA DEL CARMEN</t>
  </si>
  <si>
    <t>PIRAMANRIQUE SACRISTAN NEIL ASLEY</t>
  </si>
  <si>
    <t>GONZALEZ PARRA JEISON ANDREI</t>
  </si>
  <si>
    <t>MONTOYA RODRIGUEZ JUAN MANUEL</t>
  </si>
  <si>
    <t>RESTREPO SERRATO CESAR EMILIO</t>
  </si>
  <si>
    <t>BELTRAN CORTES YEIDY ZILENE</t>
  </si>
  <si>
    <t>BALCAZAR CARDENAS SANDRA GUIOVANNA</t>
  </si>
  <si>
    <t>PARRA SILVA JANNER  AUGUSTO</t>
  </si>
  <si>
    <t>CETINA GOMEZ HUGO ANDRES</t>
  </si>
  <si>
    <t>GARZON  BERMUDEZ SANTIAGO</t>
  </si>
  <si>
    <t>ACOSTA SANCHEZ JIMMY ABRAHAM</t>
  </si>
  <si>
    <t>CASTRO CASTRO JEIMMY VIVIANA</t>
  </si>
  <si>
    <t>NARANJO AVILA ANGIE  PAOLA</t>
  </si>
  <si>
    <t>CAMPO ACOSTA CIELO MARIA</t>
  </si>
  <si>
    <t>ABAUNZA MARTINEZ ANGELLY NATALIA</t>
  </si>
  <si>
    <t>FERRER FIGUEROA FELIX DANIEL</t>
  </si>
  <si>
    <t>VILORIA CAMEJO LOLIMAR CAROLINA</t>
  </si>
  <si>
    <t>ALVARADO PORTILLO ANGIE  LORENA</t>
  </si>
  <si>
    <t>ZÁRATE LÓPEZ DANIELA NAZARET</t>
  </si>
  <si>
    <t>QUIÑONEZ PALACIOS INGRID TATIANA</t>
  </si>
  <si>
    <t>BAYONA ORJUELA YURY JAZMIN</t>
  </si>
  <si>
    <t>ANALISTA DE MEJORAMIENTO</t>
  </si>
  <si>
    <t>ERAZO RODRIGUEZ ANDRES FELIPE</t>
  </si>
  <si>
    <t>BERNAL MORENO FRANCI MILENA</t>
  </si>
  <si>
    <t>GARCIA FLOREZ YESSICA NATALIA</t>
  </si>
  <si>
    <t>LEON CASTAÑEDA EDWIN  ALONSO</t>
  </si>
  <si>
    <t>PERDOMO JURADO KAREN DAYANNA</t>
  </si>
  <si>
    <t>MEJIA SIERRA YEIMI LORENA</t>
  </si>
  <si>
    <t>CARO SERRANO ALEJANDRA</t>
  </si>
  <si>
    <t>VARGAS  LUIS CARLOS</t>
  </si>
  <si>
    <t>RINALDY SANCHEZ ANDERSON</t>
  </si>
  <si>
    <t>GUERRERO MEZA MARCO JUAN</t>
  </si>
  <si>
    <t>POVEDA CARDENAS SERGIO EDUARDO</t>
  </si>
  <si>
    <t>LOPEZ GUZMAN JAMES ESNEIDER</t>
  </si>
  <si>
    <t>MALDONADO DIAZ SNEIDER ALEJANDRO</t>
  </si>
  <si>
    <t>MORILLO GALICIA JOHAN JAVIER</t>
  </si>
  <si>
    <t>JUAN DANIEL OSPINA PINEDA</t>
  </si>
  <si>
    <t>ALVARO CANO PALOMINO</t>
  </si>
  <si>
    <t>HRS. DOMINICAL DIURNO - 1,80</t>
  </si>
  <si>
    <t>VR. DOMINICAL DIURNO - 1,80</t>
  </si>
  <si>
    <t>HRS. FESTIVO DIURNO - 1,80</t>
  </si>
  <si>
    <t>VR. FESTIVO DIURNO - 1,80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</si>
</sst>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vertical="center"/>
    </xf>
    <xf numFmtId="14" fontId="0" fillId="0" borderId="0" xfId="0" applyNumberFormat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Fill="1"/>
    <xf numFmtId="165" fontId="3" fillId="4" borderId="1" xfId="1" applyNumberFormat="1" applyFont="1" applyFill="1" applyBorder="1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Fill="1" applyBorder="1"/>
    <xf numFmtId="165" fontId="3" fillId="0" borderId="1" xfId="1" applyNumberFormat="1" applyFont="1" applyBorder="1"/>
    <xf numFmtId="14" fontId="3" fillId="0" borderId="1" xfId="0" applyNumberFormat="1" applyFont="1" applyFill="1" applyBorder="1"/>
    <xf numFmtId="166" fontId="3" fillId="0" borderId="1" xfId="4" applyNumberFormat="1" applyFont="1" applyFill="1" applyBorder="1"/>
    <xf numFmtId="1" fontId="3" fillId="0" borderId="1" xfId="0" applyNumberFormat="1" applyFont="1" applyFill="1" applyBorder="1"/>
    <xf numFmtId="165" fontId="3" fillId="0" borderId="1" xfId="0" applyNumberFormat="1" applyFont="1" applyFill="1" applyBorder="1"/>
  </cellXfs>
  <cellStyles count="5">
    <cellStyle name="Millares" xfId="1" builtinId="3"/>
    <cellStyle name="Moneda" xfId="4" builtinId="4"/>
    <cellStyle name="Normal" xfId="0" builtinId="0"/>
    <cellStyle name="Normal 2" xfId="2" xr:uid="{00000000-0005-0000-0000-000004000000}"/>
    <cellStyle name="Normal 8" xfId="3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52"/>
  <sheetViews>
    <sheetView showGridLines="0" tabSelected="1" topLeftCell="B1" zoomScale="85" zoomScaleNormal="85" workbookViewId="0">
      <pane ySplit="1" topLeftCell="A2" activePane="bottomLeft" state="frozen"/>
      <selection pane="bottomLeft" activeCell="B1" sqref="B1"/>
    </sheetView>
  </sheetViews>
  <sheetFormatPr baseColWidth="10" defaultColWidth="11.7265625" defaultRowHeight="14.5" x14ac:dyDescent="0.35"/>
  <cols>
    <col min="1" max="1" width="11.6328125" hidden="1" customWidth="1"/>
    <col min="2" max="2" width="19.1796875" bestFit="1" customWidth="1"/>
    <col min="3" max="3" width="23.7265625" bestFit="1" customWidth="1"/>
    <col min="4" max="4" width="9.6328125" style="3" bestFit="1" customWidth="1"/>
    <col min="5" max="5" width="16.453125" style="3" bestFit="1" customWidth="1"/>
    <col min="6" max="6" width="28" style="3" bestFit="1" customWidth="1"/>
    <col min="7" max="7" width="15.36328125" bestFit="1" customWidth="1"/>
    <col min="8" max="8" width="12.26953125" bestFit="1" customWidth="1"/>
    <col min="9" max="9" width="36.54296875" bestFit="1" customWidth="1"/>
    <col min="10" max="10" width="29.81640625" bestFit="1" customWidth="1"/>
    <col min="11" max="11" width="15" bestFit="1" customWidth="1"/>
    <col min="12" max="12" width="21.26953125" style="4" bestFit="1" customWidth="1"/>
    <col min="13" max="13" width="18.36328125" style="6" bestFit="1" customWidth="1"/>
    <col min="14" max="14" width="25.6328125" style="6" bestFit="1" customWidth="1"/>
    <col min="15" max="15" width="26.81640625" style="2" bestFit="1" customWidth="1"/>
    <col min="16" max="16" width="18.453125" style="1" bestFit="1" customWidth="1"/>
    <col min="17" max="17" width="22.6328125" style="5" bestFit="1" customWidth="1"/>
    <col min="18" max="18" width="20.7265625" style="5" bestFit="1" customWidth="1"/>
    <col min="19" max="19" width="27.36328125" style="1" bestFit="1" customWidth="1"/>
    <col min="20" max="20" width="32.36328125" style="1" bestFit="1" customWidth="1"/>
    <col min="21" max="21" width="31.36328125" style="1" bestFit="1" customWidth="1"/>
    <col min="22" max="22" width="35" style="1" bestFit="1" customWidth="1"/>
    <col min="23" max="23" width="34" style="1" bestFit="1" customWidth="1"/>
    <col min="24" max="24" width="31.453125" style="1" bestFit="1" customWidth="1"/>
    <col min="25" max="25" width="31.08984375" style="1" bestFit="1" customWidth="1"/>
    <col min="26" max="26" width="44.81640625" style="1" bestFit="1" customWidth="1"/>
    <col min="27" max="27" width="43.81640625" style="1" bestFit="1" customWidth="1"/>
    <col min="28" max="28" width="50.6328125" style="1" bestFit="1" customWidth="1"/>
    <col min="29" max="29" width="49.6328125" style="1" bestFit="1" customWidth="1"/>
    <col min="30" max="30" width="16.36328125" style="1" bestFit="1" customWidth="1"/>
    <col min="31" max="31" width="29.453125" style="1" bestFit="1" customWidth="1"/>
    <col min="32" max="32" width="31.7265625" style="1" bestFit="1" customWidth="1"/>
    <col min="33" max="33" width="30.81640625" style="1" bestFit="1" customWidth="1"/>
    <col min="34" max="34" width="29" style="1" bestFit="1" customWidth="1"/>
    <col min="35" max="35" width="28" style="1" bestFit="1" customWidth="1"/>
    <col min="36" max="36" width="42.54296875" style="1" bestFit="1" customWidth="1"/>
    <col min="37" max="37" width="41.54296875" style="1" bestFit="1" customWidth="1"/>
    <col min="38" max="38" width="38.7265625" style="1" bestFit="1" customWidth="1"/>
    <col min="39" max="39" width="37.7265625" style="1" bestFit="1" customWidth="1"/>
    <col min="40" max="40" width="61.7265625" style="1" bestFit="1" customWidth="1"/>
    <col min="41" max="41" width="60.7265625" style="1" bestFit="1" customWidth="1"/>
    <col min="42" max="42" width="60.6328125" style="1" bestFit="1" customWidth="1"/>
    <col min="43" max="43" width="60.1796875" style="1" bestFit="1" customWidth="1"/>
    <col min="44" max="44" width="32.1796875" style="1" bestFit="1" customWidth="1"/>
    <col min="45" max="45" width="31.7265625" style="1" bestFit="1" customWidth="1"/>
    <col min="46" max="46" width="32.7265625" style="1" bestFit="1" customWidth="1"/>
    <col min="47" max="47" width="30.54296875" style="1" bestFit="1" customWidth="1"/>
    <col min="48" max="48" width="23" style="1" bestFit="1" customWidth="1"/>
    <col min="49" max="49" width="17.08984375" style="1" bestFit="1" customWidth="1"/>
    <col min="50" max="50" width="21.81640625" style="1" bestFit="1" customWidth="1"/>
    <col min="51" max="51" width="34.54296875" style="1" bestFit="1" customWidth="1"/>
    <col min="52" max="52" width="24.54296875" style="1" bestFit="1" customWidth="1"/>
    <col min="53" max="53" width="60.1796875" style="1" bestFit="1" customWidth="1"/>
    <col min="54" max="54" width="61.81640625" style="1" bestFit="1" customWidth="1"/>
    <col min="55" max="55" width="42.90625" style="1" bestFit="1" customWidth="1"/>
    <col min="56" max="56" width="26" style="1" bestFit="1" customWidth="1"/>
    <col min="57" max="57" width="37.08984375" style="1" bestFit="1" customWidth="1"/>
    <col min="58" max="58" width="27" style="1" bestFit="1" customWidth="1"/>
    <col min="59" max="59" width="44.1796875" style="1" bestFit="1" customWidth="1"/>
    <col min="60" max="60" width="33.6328125" style="1" bestFit="1" customWidth="1"/>
    <col min="61" max="61" width="36.26953125" style="1" bestFit="1" customWidth="1"/>
    <col min="62" max="62" width="15.7265625" style="1" bestFit="1" customWidth="1"/>
    <col min="63" max="63" width="31.453125" style="1" bestFit="1" customWidth="1"/>
    <col min="64" max="64" width="16.54296875" style="1" bestFit="1" customWidth="1"/>
    <col min="65" max="65" width="47" style="1" bestFit="1" customWidth="1"/>
    <col min="66" max="66" width="68.81640625" style="1" bestFit="1" customWidth="1"/>
    <col min="67" max="67" width="20" style="1" bestFit="1" customWidth="1"/>
    <col min="68" max="68" width="17.1796875" style="1" bestFit="1" customWidth="1"/>
    <col min="69" max="69" width="12.08984375" style="1" bestFit="1" customWidth="1"/>
    <col min="70" max="70" width="14.7265625" style="1" bestFit="1" customWidth="1"/>
    <col min="71" max="71" width="20.90625" style="1" bestFit="1" customWidth="1"/>
    <col min="72" max="72" width="10.6328125" style="1" bestFit="1" customWidth="1"/>
    <col min="73" max="73" width="10.1796875" style="1" bestFit="1" customWidth="1"/>
    <col min="74" max="74" width="23.36328125" style="1" bestFit="1" customWidth="1"/>
    <col min="75" max="75" width="20.1796875" style="1" bestFit="1" customWidth="1"/>
    <col min="76" max="76" width="21.26953125" style="1" bestFit="1" customWidth="1"/>
    <col min="77" max="77" width="17.08984375" style="1" bestFit="1" customWidth="1"/>
    <col min="78" max="78" width="21.81640625" style="1" bestFit="1" customWidth="1"/>
    <col min="79" max="79" width="17.1796875" style="1" bestFit="1" customWidth="1"/>
    <col min="80" max="80" width="23.90625" style="1" bestFit="1" customWidth="1"/>
    <col min="81" max="81" width="34.08984375" style="1" bestFit="1" customWidth="1"/>
    <col min="82" max="82" width="20.7265625" style="1" bestFit="1" customWidth="1"/>
    <col min="83" max="83" width="17.453125" style="1" bestFit="1" customWidth="1"/>
    <col min="84" max="84" width="22.26953125" style="1" bestFit="1" customWidth="1"/>
    <col min="85" max="85" width="27.1796875" bestFit="1" customWidth="1"/>
    <col min="86" max="86" width="16.26953125" bestFit="1" customWidth="1"/>
    <col min="87" max="87" width="18.81640625" bestFit="1" customWidth="1"/>
    <col min="88" max="88" width="16.54296875" bestFit="1" customWidth="1"/>
  </cols>
  <sheetData>
    <row r="1" spans="1:88" x14ac:dyDescent="0.35">
      <c r="A1" t="s">
        <v>285</v>
      </c>
      <c r="B1" s="8" t="s">
        <v>26</v>
      </c>
      <c r="C1" s="8" t="s">
        <v>27</v>
      </c>
      <c r="D1" s="8" t="s">
        <v>4</v>
      </c>
      <c r="E1" s="8" t="s">
        <v>28</v>
      </c>
      <c r="F1" s="8" t="s">
        <v>29</v>
      </c>
      <c r="G1" s="8" t="s">
        <v>5</v>
      </c>
      <c r="H1" s="8" t="s">
        <v>0</v>
      </c>
      <c r="I1" s="8" t="s">
        <v>1</v>
      </c>
      <c r="J1" s="8" t="s">
        <v>30</v>
      </c>
      <c r="K1" s="8" t="s">
        <v>31</v>
      </c>
      <c r="L1" s="8" t="s">
        <v>32</v>
      </c>
      <c r="M1" s="8" t="s">
        <v>33</v>
      </c>
      <c r="N1" s="9" t="s">
        <v>2</v>
      </c>
      <c r="O1" s="9" t="s">
        <v>3</v>
      </c>
      <c r="P1" s="10" t="s">
        <v>6</v>
      </c>
      <c r="Q1" s="10" t="s">
        <v>34</v>
      </c>
      <c r="R1" s="11" t="s">
        <v>35</v>
      </c>
      <c r="S1" s="11" t="s">
        <v>36</v>
      </c>
      <c r="T1" s="10" t="s">
        <v>37</v>
      </c>
      <c r="U1" s="10" t="s">
        <v>38</v>
      </c>
      <c r="V1" s="10" t="s">
        <v>39</v>
      </c>
      <c r="W1" s="10" t="s">
        <v>40</v>
      </c>
      <c r="X1" s="10" t="s">
        <v>41</v>
      </c>
      <c r="Y1" s="10" t="s">
        <v>79</v>
      </c>
      <c r="Z1" s="10" t="s">
        <v>42</v>
      </c>
      <c r="AA1" s="10" t="s">
        <v>43</v>
      </c>
      <c r="AB1" s="10" t="s">
        <v>44</v>
      </c>
      <c r="AC1" s="10" t="s">
        <v>45</v>
      </c>
      <c r="AD1" s="12" t="s">
        <v>7</v>
      </c>
      <c r="AE1" s="11" t="s">
        <v>8</v>
      </c>
      <c r="AF1" s="10" t="s">
        <v>362</v>
      </c>
      <c r="AG1" s="10" t="s">
        <v>363</v>
      </c>
      <c r="AH1" s="10" t="s">
        <v>364</v>
      </c>
      <c r="AI1" s="10" t="s">
        <v>365</v>
      </c>
      <c r="AJ1" s="10" t="s">
        <v>80</v>
      </c>
      <c r="AK1" s="10" t="s">
        <v>81</v>
      </c>
      <c r="AL1" s="10" t="s">
        <v>46</v>
      </c>
      <c r="AM1" s="10" t="s">
        <v>47</v>
      </c>
      <c r="AN1" s="10" t="s">
        <v>48</v>
      </c>
      <c r="AO1" s="10" t="s">
        <v>49</v>
      </c>
      <c r="AP1" s="10" t="s">
        <v>50</v>
      </c>
      <c r="AQ1" s="10" t="s">
        <v>51</v>
      </c>
      <c r="AR1" s="10" t="s">
        <v>52</v>
      </c>
      <c r="AS1" s="10" t="s">
        <v>53</v>
      </c>
      <c r="AT1" s="12" t="s">
        <v>54</v>
      </c>
      <c r="AU1" s="11" t="s">
        <v>9</v>
      </c>
      <c r="AV1" s="11" t="s">
        <v>55</v>
      </c>
      <c r="AW1" s="11" t="s">
        <v>56</v>
      </c>
      <c r="AX1" s="11" t="s">
        <v>57</v>
      </c>
      <c r="AY1" s="11" t="s">
        <v>58</v>
      </c>
      <c r="AZ1" s="11" t="s">
        <v>59</v>
      </c>
      <c r="BA1" s="10" t="s">
        <v>60</v>
      </c>
      <c r="BB1" s="10" t="s">
        <v>61</v>
      </c>
      <c r="BC1" s="11" t="s">
        <v>19</v>
      </c>
      <c r="BD1" s="11" t="s">
        <v>10</v>
      </c>
      <c r="BE1" s="11" t="s">
        <v>20</v>
      </c>
      <c r="BF1" s="11" t="s">
        <v>62</v>
      </c>
      <c r="BG1" s="10" t="s">
        <v>21</v>
      </c>
      <c r="BH1" s="11" t="s">
        <v>63</v>
      </c>
      <c r="BI1" s="10" t="s">
        <v>22</v>
      </c>
      <c r="BJ1" s="11" t="s">
        <v>64</v>
      </c>
      <c r="BK1" s="11" t="s">
        <v>65</v>
      </c>
      <c r="BL1" s="10" t="s">
        <v>11</v>
      </c>
      <c r="BM1" s="11" t="s">
        <v>23</v>
      </c>
      <c r="BN1" s="11" t="s">
        <v>24</v>
      </c>
      <c r="BO1" s="10" t="s">
        <v>25</v>
      </c>
      <c r="BP1" s="10" t="s">
        <v>12</v>
      </c>
      <c r="BQ1" s="10" t="s">
        <v>13</v>
      </c>
      <c r="BR1" s="11" t="s">
        <v>14</v>
      </c>
      <c r="BS1" s="10" t="s">
        <v>15</v>
      </c>
      <c r="BT1" s="10" t="s">
        <v>66</v>
      </c>
      <c r="BU1" s="10" t="s">
        <v>67</v>
      </c>
      <c r="BV1" s="11" t="s">
        <v>68</v>
      </c>
      <c r="BW1" s="10" t="s">
        <v>69</v>
      </c>
      <c r="BX1" s="10" t="s">
        <v>16</v>
      </c>
      <c r="BY1" s="10" t="s">
        <v>70</v>
      </c>
      <c r="BZ1" s="10" t="s">
        <v>71</v>
      </c>
      <c r="CA1" s="10" t="s">
        <v>72</v>
      </c>
      <c r="CB1" s="11" t="s">
        <v>73</v>
      </c>
      <c r="CC1" s="10" t="s">
        <v>17</v>
      </c>
      <c r="CD1" s="11" t="s">
        <v>74</v>
      </c>
      <c r="CE1" s="11" t="s">
        <v>82</v>
      </c>
      <c r="CF1" s="10" t="s">
        <v>18</v>
      </c>
      <c r="CG1" s="10" t="s">
        <v>75</v>
      </c>
      <c r="CH1" s="10" t="s">
        <v>76</v>
      </c>
      <c r="CI1" s="10" t="s">
        <v>77</v>
      </c>
      <c r="CJ1" s="7" t="s">
        <v>78</v>
      </c>
    </row>
    <row r="2" spans="1:88" x14ac:dyDescent="0.35">
      <c r="A2" s="13">
        <v>1053869800</v>
      </c>
      <c r="B2" s="17" t="s">
        <v>95</v>
      </c>
      <c r="C2" s="17" t="s">
        <v>83</v>
      </c>
      <c r="D2" s="17" t="s">
        <v>286</v>
      </c>
      <c r="E2" s="17">
        <v>5358</v>
      </c>
      <c r="F2" s="17" t="s">
        <v>90</v>
      </c>
      <c r="G2" s="17" t="s">
        <v>91</v>
      </c>
      <c r="H2" s="17">
        <v>1053869800</v>
      </c>
      <c r="I2" s="17" t="s">
        <v>113</v>
      </c>
      <c r="J2" s="17" t="s">
        <v>104</v>
      </c>
      <c r="K2" s="17">
        <v>0</v>
      </c>
      <c r="L2" s="17">
        <v>0</v>
      </c>
      <c r="M2" s="17" t="s">
        <v>96</v>
      </c>
      <c r="N2" s="19">
        <v>45547</v>
      </c>
      <c r="O2" s="19">
        <v>45911</v>
      </c>
      <c r="P2" s="20">
        <v>938572</v>
      </c>
      <c r="Q2" s="17">
        <v>30</v>
      </c>
      <c r="R2" s="14">
        <f>+P2/30*Q2</f>
        <v>938572</v>
      </c>
      <c r="S2" s="15">
        <v>193333</v>
      </c>
      <c r="T2" s="15">
        <v>0</v>
      </c>
      <c r="U2" s="7">
        <f>+P2/110*T2*1.25</f>
        <v>0</v>
      </c>
      <c r="V2" s="15">
        <v>0</v>
      </c>
      <c r="W2" s="7">
        <f>+P2/220*V2*1.75</f>
        <v>0</v>
      </c>
      <c r="X2" s="15">
        <v>0</v>
      </c>
      <c r="Y2" s="7">
        <f t="shared" ref="Y2:Y65" si="0">+P2/235*X2*1.75</f>
        <v>0</v>
      </c>
      <c r="Z2" s="15">
        <v>0</v>
      </c>
      <c r="AA2" s="7">
        <f>+P2/220*Z2*2.5</f>
        <v>0</v>
      </c>
      <c r="AB2" s="15">
        <v>0</v>
      </c>
      <c r="AC2" s="14">
        <f>+P2/220*AB2*2</f>
        <v>0</v>
      </c>
      <c r="AD2" s="14">
        <f t="shared" ref="AD2:AD41" si="1">+T2+V2+X2+Z2+AB2</f>
        <v>0</v>
      </c>
      <c r="AE2" s="14">
        <f t="shared" ref="AE2:AE41" si="2">+U2+W2+Y2+AA2+AC2</f>
        <v>0</v>
      </c>
      <c r="AF2" s="15">
        <v>0</v>
      </c>
      <c r="AG2" s="7">
        <f>+P2/220*AF2*1.8</f>
        <v>0</v>
      </c>
      <c r="AH2" s="15">
        <v>0</v>
      </c>
      <c r="AI2" s="7">
        <f>+P2/220*AH2*1.8</f>
        <v>0</v>
      </c>
      <c r="AJ2" s="15">
        <v>0</v>
      </c>
      <c r="AK2" s="14">
        <f>+P2/220*AJ2*2.1</f>
        <v>0</v>
      </c>
      <c r="AL2" s="15">
        <v>0</v>
      </c>
      <c r="AM2" s="7">
        <f>+P2/220*AL2*2.1</f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7">
        <f>+P2/220*AR2*0.35</f>
        <v>0</v>
      </c>
      <c r="AT2" s="14">
        <f t="shared" ref="AT2:AU41" si="3">+AF2+AH2+AJ2+AL2+AN2+AP2+AR2</f>
        <v>0</v>
      </c>
      <c r="AU2" s="14">
        <f t="shared" si="3"/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188567</v>
      </c>
      <c r="BD2" s="15">
        <v>0</v>
      </c>
      <c r="BE2" s="15">
        <v>190913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170860</v>
      </c>
      <c r="BQ2" s="15">
        <v>33600</v>
      </c>
      <c r="BR2" s="14">
        <f t="shared" ref="BR2:BR41" si="4">+BO2+BP2+BQ2</f>
        <v>204460</v>
      </c>
      <c r="BS2" s="15">
        <v>37600</v>
      </c>
      <c r="BT2" s="15">
        <v>0</v>
      </c>
      <c r="BU2" s="15">
        <v>0</v>
      </c>
      <c r="BV2" s="14">
        <f t="shared" ref="BV2:BV41" si="5">+BS2+BT2+BU2</f>
        <v>37600</v>
      </c>
      <c r="BW2" s="15">
        <v>94322</v>
      </c>
      <c r="BX2" s="15">
        <v>11319</v>
      </c>
      <c r="BY2" s="15">
        <v>94322</v>
      </c>
      <c r="BZ2" s="15">
        <v>40734</v>
      </c>
      <c r="CA2" s="15">
        <v>0</v>
      </c>
      <c r="CB2" s="15">
        <v>240697</v>
      </c>
      <c r="CC2" s="15">
        <v>1994142</v>
      </c>
      <c r="CD2" s="15">
        <v>119649</v>
      </c>
      <c r="CE2" s="15">
        <v>0</v>
      </c>
      <c r="CF2" s="14">
        <f t="shared" ref="CF2:CF41" si="6">+CB2+BV2+BR2+BN2+BM2+BL2+BJ2+BI2+BH2+BF2++BG2+BE2+BD2+BC2+AZ2+AY2+AX2+AW2+AV2+AU2++AE2++S2+R2+CD2+BK2+CA2+CE2</f>
        <v>2113791</v>
      </c>
      <c r="CG2" s="18"/>
      <c r="CH2" s="16"/>
      <c r="CI2" s="17"/>
      <c r="CJ2" s="17"/>
    </row>
    <row r="3" spans="1:88" x14ac:dyDescent="0.35">
      <c r="A3" s="13">
        <v>1001315022</v>
      </c>
      <c r="B3" s="17" t="s">
        <v>95</v>
      </c>
      <c r="C3" s="17" t="s">
        <v>83</v>
      </c>
      <c r="D3" s="17" t="s">
        <v>286</v>
      </c>
      <c r="E3" s="17">
        <v>6571</v>
      </c>
      <c r="F3" s="17" t="s">
        <v>88</v>
      </c>
      <c r="G3" s="17" t="s">
        <v>89</v>
      </c>
      <c r="H3" s="17">
        <v>1001315022</v>
      </c>
      <c r="I3" s="17" t="s">
        <v>114</v>
      </c>
      <c r="J3" s="17" t="s">
        <v>94</v>
      </c>
      <c r="K3" s="17">
        <v>0</v>
      </c>
      <c r="L3" s="17">
        <v>0</v>
      </c>
      <c r="M3" s="17" t="s">
        <v>96</v>
      </c>
      <c r="N3" s="19">
        <v>45627</v>
      </c>
      <c r="O3" s="19">
        <v>45855</v>
      </c>
      <c r="P3" s="20">
        <v>1423500</v>
      </c>
      <c r="Q3" s="17">
        <v>2</v>
      </c>
      <c r="R3" s="14">
        <f t="shared" ref="R3:R41" si="7">+P3/30*Q3</f>
        <v>94900</v>
      </c>
      <c r="S3" s="15">
        <v>13333</v>
      </c>
      <c r="T3" s="15">
        <v>0</v>
      </c>
      <c r="U3" s="7">
        <f t="shared" ref="U3:U65" si="8">+P3/220*T3*1.25</f>
        <v>0</v>
      </c>
      <c r="V3" s="15">
        <v>0</v>
      </c>
      <c r="W3" s="7">
        <f t="shared" ref="W3:W65" si="9">+P3/220*V3*1.75</f>
        <v>0</v>
      </c>
      <c r="X3" s="15">
        <v>0</v>
      </c>
      <c r="Y3" s="7">
        <f t="shared" si="0"/>
        <v>0</v>
      </c>
      <c r="Z3" s="15">
        <v>0</v>
      </c>
      <c r="AA3" s="7">
        <f t="shared" ref="AA3:AA66" si="10">+P3/220*Z3*2.5</f>
        <v>0</v>
      </c>
      <c r="AB3" s="15">
        <v>0</v>
      </c>
      <c r="AC3" s="14">
        <f t="shared" ref="AC3:AC66" si="11">+P3/220*AB3*2</f>
        <v>0</v>
      </c>
      <c r="AD3" s="14">
        <f t="shared" si="1"/>
        <v>0</v>
      </c>
      <c r="AE3" s="14">
        <f t="shared" si="2"/>
        <v>0</v>
      </c>
      <c r="AF3" s="15">
        <v>0</v>
      </c>
      <c r="AG3" s="7">
        <f t="shared" ref="AG3:AG65" si="12">+P3/220*AF3*1.8</f>
        <v>0</v>
      </c>
      <c r="AH3" s="15">
        <v>0</v>
      </c>
      <c r="AI3" s="7">
        <f t="shared" ref="AI3:AI66" si="13">+P3/220*AH3*1.8</f>
        <v>0</v>
      </c>
      <c r="AJ3" s="15">
        <v>0</v>
      </c>
      <c r="AK3" s="14">
        <f t="shared" ref="AK3:AK65" si="14">+P3/220*AJ3*2.1</f>
        <v>0</v>
      </c>
      <c r="AL3" s="15">
        <v>0</v>
      </c>
      <c r="AM3" s="7">
        <f t="shared" ref="AM3:AM66" si="15">+P3/220*AL3*2.1</f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7">
        <f t="shared" ref="AS3:AS65" si="16">+P3/220*AR3*0.35</f>
        <v>0</v>
      </c>
      <c r="AT3" s="14">
        <f t="shared" si="3"/>
        <v>0</v>
      </c>
      <c r="AU3" s="14">
        <f t="shared" si="3"/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130000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27004</v>
      </c>
      <c r="BQ3" s="15">
        <v>5500</v>
      </c>
      <c r="BR3" s="14">
        <f t="shared" si="4"/>
        <v>32504</v>
      </c>
      <c r="BS3" s="15">
        <v>9000</v>
      </c>
      <c r="BT3" s="15">
        <v>0</v>
      </c>
      <c r="BU3" s="15">
        <v>0</v>
      </c>
      <c r="BV3" s="14">
        <f t="shared" si="5"/>
        <v>9000</v>
      </c>
      <c r="BW3" s="15">
        <v>19852</v>
      </c>
      <c r="BX3" s="15">
        <v>2382</v>
      </c>
      <c r="BY3" s="15">
        <v>19852</v>
      </c>
      <c r="BZ3" s="15">
        <v>9760</v>
      </c>
      <c r="CA3" s="15">
        <v>0</v>
      </c>
      <c r="CB3" s="15">
        <v>51846</v>
      </c>
      <c r="CC3" s="15">
        <v>331583</v>
      </c>
      <c r="CD3" s="15">
        <v>17575</v>
      </c>
      <c r="CE3" s="15">
        <v>0</v>
      </c>
      <c r="CF3" s="14">
        <f t="shared" si="6"/>
        <v>349158</v>
      </c>
      <c r="CG3" s="18"/>
      <c r="CH3" s="16"/>
      <c r="CI3" s="17"/>
      <c r="CJ3" s="17"/>
    </row>
    <row r="4" spans="1:88" x14ac:dyDescent="0.35">
      <c r="A4" s="13">
        <v>1016040206</v>
      </c>
      <c r="B4" s="17" t="s">
        <v>95</v>
      </c>
      <c r="C4" s="17" t="s">
        <v>83</v>
      </c>
      <c r="D4" s="17" t="s">
        <v>286</v>
      </c>
      <c r="E4" s="17">
        <v>6563</v>
      </c>
      <c r="F4" s="17" t="s">
        <v>84</v>
      </c>
      <c r="G4" s="17" t="s">
        <v>85</v>
      </c>
      <c r="H4" s="17">
        <v>1016040206</v>
      </c>
      <c r="I4" s="17" t="s">
        <v>115</v>
      </c>
      <c r="J4" s="17" t="s">
        <v>94</v>
      </c>
      <c r="K4" s="17">
        <v>0</v>
      </c>
      <c r="L4" s="17">
        <v>0</v>
      </c>
      <c r="M4" s="17" t="s">
        <v>96</v>
      </c>
      <c r="N4" s="19">
        <v>45637</v>
      </c>
      <c r="O4" s="19">
        <v>45869</v>
      </c>
      <c r="P4" s="20">
        <v>1423500</v>
      </c>
      <c r="Q4" s="17">
        <v>1</v>
      </c>
      <c r="R4" s="14">
        <f t="shared" si="7"/>
        <v>47450</v>
      </c>
      <c r="S4" s="15">
        <v>6667</v>
      </c>
      <c r="T4" s="15">
        <v>2.0832999999999999</v>
      </c>
      <c r="U4" s="7">
        <f t="shared" si="8"/>
        <v>16849.872443181815</v>
      </c>
      <c r="V4" s="15">
        <v>10</v>
      </c>
      <c r="W4" s="7">
        <f t="shared" si="9"/>
        <v>113232.95454545453</v>
      </c>
      <c r="X4" s="15">
        <v>0</v>
      </c>
      <c r="Y4" s="7">
        <f t="shared" si="0"/>
        <v>0</v>
      </c>
      <c r="Z4" s="15">
        <v>0</v>
      </c>
      <c r="AA4" s="7">
        <f t="shared" si="10"/>
        <v>0</v>
      </c>
      <c r="AB4" s="15">
        <v>0</v>
      </c>
      <c r="AC4" s="14">
        <f t="shared" si="11"/>
        <v>0</v>
      </c>
      <c r="AD4" s="14">
        <f t="shared" si="1"/>
        <v>12.083299999999999</v>
      </c>
      <c r="AE4" s="14">
        <f t="shared" si="2"/>
        <v>130082.82698863634</v>
      </c>
      <c r="AF4" s="15">
        <v>12.12</v>
      </c>
      <c r="AG4" s="7">
        <f>+P4/230*AF4*1.8</f>
        <v>135022.06956521739</v>
      </c>
      <c r="AH4" s="15">
        <v>0</v>
      </c>
      <c r="AI4" s="7">
        <f t="shared" si="13"/>
        <v>0</v>
      </c>
      <c r="AJ4" s="15">
        <v>4</v>
      </c>
      <c r="AK4" s="14">
        <f t="shared" si="14"/>
        <v>54351.818181818184</v>
      </c>
      <c r="AL4" s="15">
        <v>0</v>
      </c>
      <c r="AM4" s="7">
        <f t="shared" si="15"/>
        <v>0</v>
      </c>
      <c r="AN4" s="15">
        <v>0</v>
      </c>
      <c r="AO4" s="15">
        <v>0</v>
      </c>
      <c r="AP4" s="15">
        <v>0</v>
      </c>
      <c r="AQ4" s="15">
        <v>0</v>
      </c>
      <c r="AR4" s="15">
        <v>83.8</v>
      </c>
      <c r="AS4" s="7">
        <f t="shared" si="16"/>
        <v>189778.43181818177</v>
      </c>
      <c r="AT4" s="14">
        <f t="shared" si="3"/>
        <v>99.919999999999987</v>
      </c>
      <c r="AU4" s="14">
        <f t="shared" si="3"/>
        <v>379152.31956521736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-54117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62066</v>
      </c>
      <c r="BQ4" s="15">
        <v>12600</v>
      </c>
      <c r="BR4" s="14">
        <f t="shared" si="4"/>
        <v>74666</v>
      </c>
      <c r="BS4" s="15">
        <v>20700</v>
      </c>
      <c r="BT4" s="15">
        <v>0</v>
      </c>
      <c r="BU4" s="15">
        <v>0</v>
      </c>
      <c r="BV4" s="14">
        <f t="shared" si="5"/>
        <v>20700</v>
      </c>
      <c r="BW4" s="15">
        <v>43054</v>
      </c>
      <c r="BX4" s="15">
        <v>5167</v>
      </c>
      <c r="BY4" s="15">
        <v>43054</v>
      </c>
      <c r="BZ4" s="15">
        <v>22423</v>
      </c>
      <c r="CA4" s="15">
        <v>0</v>
      </c>
      <c r="CB4" s="15">
        <v>113698</v>
      </c>
      <c r="CC4" s="15">
        <v>725730</v>
      </c>
      <c r="CD4" s="16">
        <v>45895.85344614624</v>
      </c>
      <c r="CE4" s="15">
        <v>0</v>
      </c>
      <c r="CF4" s="14">
        <f t="shared" si="6"/>
        <v>764195</v>
      </c>
      <c r="CG4" s="18"/>
      <c r="CH4" s="16"/>
      <c r="CI4" s="22"/>
      <c r="CJ4" s="17"/>
    </row>
    <row r="5" spans="1:88" x14ac:dyDescent="0.35">
      <c r="A5" s="13">
        <v>1063565239</v>
      </c>
      <c r="B5" s="17" t="s">
        <v>95</v>
      </c>
      <c r="C5" s="17" t="s">
        <v>83</v>
      </c>
      <c r="D5" s="17" t="s">
        <v>286</v>
      </c>
      <c r="E5" s="17">
        <v>6571</v>
      </c>
      <c r="F5" s="17" t="s">
        <v>88</v>
      </c>
      <c r="G5" s="17" t="s">
        <v>89</v>
      </c>
      <c r="H5" s="17">
        <v>1063565239</v>
      </c>
      <c r="I5" s="17" t="s">
        <v>116</v>
      </c>
      <c r="J5" s="17" t="s">
        <v>94</v>
      </c>
      <c r="K5" s="17">
        <v>0</v>
      </c>
      <c r="L5" s="17">
        <v>0</v>
      </c>
      <c r="M5" s="17" t="s">
        <v>96</v>
      </c>
      <c r="N5" s="19">
        <v>45627</v>
      </c>
      <c r="O5" s="19">
        <v>45848</v>
      </c>
      <c r="P5" s="20">
        <v>1423500</v>
      </c>
      <c r="Q5" s="17">
        <v>0</v>
      </c>
      <c r="R5" s="14">
        <f t="shared" si="7"/>
        <v>0</v>
      </c>
      <c r="S5" s="15">
        <v>0</v>
      </c>
      <c r="T5" s="15">
        <v>0</v>
      </c>
      <c r="U5" s="7">
        <f t="shared" si="8"/>
        <v>0</v>
      </c>
      <c r="V5" s="15">
        <v>0.92</v>
      </c>
      <c r="W5" s="7">
        <f>+P5/230*V5*1.75</f>
        <v>9964.5000000000018</v>
      </c>
      <c r="X5" s="15">
        <v>0</v>
      </c>
      <c r="Y5" s="7">
        <f t="shared" si="0"/>
        <v>0</v>
      </c>
      <c r="Z5" s="15">
        <v>0</v>
      </c>
      <c r="AA5" s="7">
        <f t="shared" si="10"/>
        <v>0</v>
      </c>
      <c r="AB5" s="15">
        <v>0</v>
      </c>
      <c r="AC5" s="14">
        <f t="shared" si="11"/>
        <v>0</v>
      </c>
      <c r="AD5" s="14">
        <f t="shared" si="1"/>
        <v>0.92</v>
      </c>
      <c r="AE5" s="14">
        <f t="shared" si="2"/>
        <v>9964.5000000000018</v>
      </c>
      <c r="AF5" s="15">
        <v>0</v>
      </c>
      <c r="AG5" s="7">
        <f t="shared" si="12"/>
        <v>0</v>
      </c>
      <c r="AH5" s="15">
        <v>0</v>
      </c>
      <c r="AI5" s="7">
        <f t="shared" si="13"/>
        <v>0</v>
      </c>
      <c r="AJ5" s="15">
        <v>0</v>
      </c>
      <c r="AK5" s="14">
        <f t="shared" si="14"/>
        <v>0</v>
      </c>
      <c r="AL5" s="15">
        <v>0</v>
      </c>
      <c r="AM5" s="7">
        <f t="shared" si="15"/>
        <v>0</v>
      </c>
      <c r="AN5" s="15">
        <v>0</v>
      </c>
      <c r="AO5" s="15">
        <v>0</v>
      </c>
      <c r="AP5" s="15">
        <v>0</v>
      </c>
      <c r="AQ5" s="15">
        <v>0</v>
      </c>
      <c r="AR5" s="15">
        <v>63</v>
      </c>
      <c r="AS5" s="7">
        <f>+P5/230*AR5*0.35</f>
        <v>136470.32608695651</v>
      </c>
      <c r="AT5" s="14">
        <f t="shared" si="3"/>
        <v>63</v>
      </c>
      <c r="AU5" s="14">
        <f t="shared" si="3"/>
        <v>136470.32608695651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90000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28386</v>
      </c>
      <c r="BQ5" s="15">
        <v>5800</v>
      </c>
      <c r="BR5" s="14">
        <f t="shared" si="4"/>
        <v>34186</v>
      </c>
      <c r="BS5" s="15">
        <v>9500</v>
      </c>
      <c r="BT5" s="15">
        <v>0</v>
      </c>
      <c r="BU5" s="15">
        <v>0</v>
      </c>
      <c r="BV5" s="14">
        <f t="shared" si="5"/>
        <v>9500</v>
      </c>
      <c r="BW5" s="15">
        <v>19702</v>
      </c>
      <c r="BX5" s="15">
        <v>2365</v>
      </c>
      <c r="BY5" s="15">
        <v>19702</v>
      </c>
      <c r="BZ5" s="15">
        <v>10262</v>
      </c>
      <c r="CA5" s="15">
        <v>0</v>
      </c>
      <c r="CB5" s="15">
        <v>52031</v>
      </c>
      <c r="CC5" s="15">
        <v>332152</v>
      </c>
      <c r="CD5" s="15">
        <v>17605</v>
      </c>
      <c r="CE5" s="15">
        <v>0</v>
      </c>
      <c r="CF5" s="14">
        <f t="shared" si="6"/>
        <v>349756.82608695654</v>
      </c>
      <c r="CG5" s="18"/>
      <c r="CH5" s="16"/>
      <c r="CI5" s="17"/>
      <c r="CJ5" s="17"/>
    </row>
    <row r="6" spans="1:88" x14ac:dyDescent="0.35">
      <c r="A6" s="13">
        <v>1192792070</v>
      </c>
      <c r="B6" s="17" t="s">
        <v>95</v>
      </c>
      <c r="C6" s="17" t="s">
        <v>83</v>
      </c>
      <c r="D6" s="17" t="s">
        <v>286</v>
      </c>
      <c r="E6" s="17">
        <v>5358</v>
      </c>
      <c r="F6" s="17" t="s">
        <v>90</v>
      </c>
      <c r="G6" s="17" t="s">
        <v>91</v>
      </c>
      <c r="H6" s="17">
        <v>1192792070</v>
      </c>
      <c r="I6" s="17" t="s">
        <v>117</v>
      </c>
      <c r="J6" s="17" t="s">
        <v>104</v>
      </c>
      <c r="K6" s="17">
        <v>0</v>
      </c>
      <c r="L6" s="17">
        <v>0</v>
      </c>
      <c r="M6" s="17" t="s">
        <v>96</v>
      </c>
      <c r="N6" s="19">
        <v>45569</v>
      </c>
      <c r="O6" s="19">
        <v>45889</v>
      </c>
      <c r="P6" s="20">
        <v>938572</v>
      </c>
      <c r="Q6" s="17">
        <v>20</v>
      </c>
      <c r="R6" s="14">
        <f t="shared" si="7"/>
        <v>625714.66666666663</v>
      </c>
      <c r="S6" s="15">
        <v>133333</v>
      </c>
      <c r="T6" s="15">
        <v>5</v>
      </c>
      <c r="U6" s="7">
        <f>+P6/110*T6*1.25</f>
        <v>53327.954545454544</v>
      </c>
      <c r="V6" s="15">
        <v>0</v>
      </c>
      <c r="W6" s="7">
        <f t="shared" si="9"/>
        <v>0</v>
      </c>
      <c r="X6" s="15">
        <v>0</v>
      </c>
      <c r="Y6" s="7">
        <f t="shared" si="0"/>
        <v>0</v>
      </c>
      <c r="Z6" s="15">
        <v>0</v>
      </c>
      <c r="AA6" s="7">
        <f t="shared" si="10"/>
        <v>0</v>
      </c>
      <c r="AB6" s="15">
        <v>0</v>
      </c>
      <c r="AC6" s="14">
        <f t="shared" si="11"/>
        <v>0</v>
      </c>
      <c r="AD6" s="14">
        <f t="shared" si="1"/>
        <v>5</v>
      </c>
      <c r="AE6" s="14">
        <f t="shared" si="2"/>
        <v>53327.954545454544</v>
      </c>
      <c r="AF6" s="15">
        <v>0</v>
      </c>
      <c r="AG6" s="7">
        <f t="shared" si="12"/>
        <v>0</v>
      </c>
      <c r="AH6" s="15">
        <v>0</v>
      </c>
      <c r="AI6" s="7">
        <f t="shared" si="13"/>
        <v>0</v>
      </c>
      <c r="AJ6" s="15">
        <v>0</v>
      </c>
      <c r="AK6" s="14">
        <f t="shared" si="14"/>
        <v>0</v>
      </c>
      <c r="AL6" s="15">
        <v>0</v>
      </c>
      <c r="AM6" s="7">
        <f t="shared" si="15"/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7">
        <f t="shared" si="16"/>
        <v>0</v>
      </c>
      <c r="AT6" s="14">
        <f t="shared" si="3"/>
        <v>0</v>
      </c>
      <c r="AU6" s="14">
        <f t="shared" si="3"/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195069</v>
      </c>
      <c r="BD6" s="15">
        <v>0</v>
      </c>
      <c r="BE6" s="15">
        <v>197497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113940</v>
      </c>
      <c r="BQ6" s="15">
        <v>23200</v>
      </c>
      <c r="BR6" s="14">
        <f t="shared" si="4"/>
        <v>137140</v>
      </c>
      <c r="BS6" s="15">
        <v>27200</v>
      </c>
      <c r="BT6" s="15">
        <v>0</v>
      </c>
      <c r="BU6" s="15">
        <v>0</v>
      </c>
      <c r="BV6" s="14">
        <f t="shared" si="5"/>
        <v>27200</v>
      </c>
      <c r="BW6" s="15">
        <v>67695</v>
      </c>
      <c r="BX6" s="15">
        <v>8124</v>
      </c>
      <c r="BY6" s="15">
        <v>67695</v>
      </c>
      <c r="BZ6" s="15">
        <v>29471</v>
      </c>
      <c r="CA6" s="15">
        <v>0</v>
      </c>
      <c r="CB6" s="15">
        <v>172985</v>
      </c>
      <c r="CC6" s="15">
        <v>1542267</v>
      </c>
      <c r="CD6" s="15">
        <v>92536</v>
      </c>
      <c r="CE6" s="15">
        <v>0</v>
      </c>
      <c r="CF6" s="14">
        <f t="shared" si="6"/>
        <v>1634802.6212121211</v>
      </c>
      <c r="CG6" s="18"/>
      <c r="CH6" s="16"/>
      <c r="CI6" s="17"/>
      <c r="CJ6" s="17"/>
    </row>
    <row r="7" spans="1:88" x14ac:dyDescent="0.35">
      <c r="A7" s="13">
        <v>1006052931</v>
      </c>
      <c r="B7" s="17" t="s">
        <v>95</v>
      </c>
      <c r="C7" s="17" t="s">
        <v>83</v>
      </c>
      <c r="D7" s="17" t="s">
        <v>286</v>
      </c>
      <c r="E7" s="17">
        <v>1980</v>
      </c>
      <c r="F7" s="17" t="s">
        <v>92</v>
      </c>
      <c r="G7" s="17" t="s">
        <v>93</v>
      </c>
      <c r="H7" s="17">
        <v>1006052931</v>
      </c>
      <c r="I7" s="17" t="s">
        <v>118</v>
      </c>
      <c r="J7" s="17" t="s">
        <v>94</v>
      </c>
      <c r="K7" s="17">
        <v>0</v>
      </c>
      <c r="L7" s="17">
        <v>0</v>
      </c>
      <c r="M7" s="17" t="s">
        <v>96</v>
      </c>
      <c r="N7" s="19">
        <v>45576</v>
      </c>
      <c r="O7" s="19">
        <v>45855</v>
      </c>
      <c r="P7" s="20">
        <v>1423500</v>
      </c>
      <c r="Q7" s="17">
        <v>0</v>
      </c>
      <c r="R7" s="14">
        <f t="shared" si="7"/>
        <v>0</v>
      </c>
      <c r="S7" s="15">
        <v>0</v>
      </c>
      <c r="T7" s="15">
        <v>13.1</v>
      </c>
      <c r="U7" s="7">
        <f>+P7/110*T7*1.25</f>
        <v>211907.38636363635</v>
      </c>
      <c r="V7" s="15">
        <v>0</v>
      </c>
      <c r="W7" s="7">
        <f t="shared" si="9"/>
        <v>0</v>
      </c>
      <c r="X7" s="15">
        <v>0</v>
      </c>
      <c r="Y7" s="7">
        <f t="shared" si="0"/>
        <v>0</v>
      </c>
      <c r="Z7" s="15">
        <v>0</v>
      </c>
      <c r="AA7" s="7">
        <f t="shared" si="10"/>
        <v>0</v>
      </c>
      <c r="AB7" s="15">
        <v>0</v>
      </c>
      <c r="AC7" s="14">
        <f t="shared" si="11"/>
        <v>0</v>
      </c>
      <c r="AD7" s="14">
        <f t="shared" si="1"/>
        <v>13.1</v>
      </c>
      <c r="AE7" s="14">
        <f t="shared" si="2"/>
        <v>211907.38636363635</v>
      </c>
      <c r="AF7" s="15">
        <v>7.47</v>
      </c>
      <c r="AG7" s="7">
        <f>+P7/110*AF7*1.8</f>
        <v>174003.46363636362</v>
      </c>
      <c r="AH7" s="15">
        <v>0</v>
      </c>
      <c r="AI7" s="7">
        <f t="shared" si="13"/>
        <v>0</v>
      </c>
      <c r="AJ7" s="15">
        <v>0</v>
      </c>
      <c r="AK7" s="14">
        <f t="shared" si="14"/>
        <v>0</v>
      </c>
      <c r="AL7" s="15">
        <v>0</v>
      </c>
      <c r="AM7" s="7">
        <f t="shared" si="15"/>
        <v>0</v>
      </c>
      <c r="AN7" s="15">
        <v>0</v>
      </c>
      <c r="AO7" s="15">
        <v>0</v>
      </c>
      <c r="AP7" s="15">
        <v>0</v>
      </c>
      <c r="AQ7" s="15">
        <v>0</v>
      </c>
      <c r="AR7" s="15">
        <v>12.3833</v>
      </c>
      <c r="AS7" s="7">
        <f>+P7/110*AR7*0.35</f>
        <v>56087.905840909087</v>
      </c>
      <c r="AT7" s="14">
        <f t="shared" si="3"/>
        <v>19.853300000000001</v>
      </c>
      <c r="AU7" s="14">
        <f t="shared" si="3"/>
        <v>230091.3694772727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260092</v>
      </c>
      <c r="BD7" s="15">
        <v>0</v>
      </c>
      <c r="BE7" s="15">
        <v>328224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53020</v>
      </c>
      <c r="BQ7" s="15">
        <v>19300</v>
      </c>
      <c r="BR7" s="14">
        <f t="shared" si="4"/>
        <v>72320</v>
      </c>
      <c r="BS7" s="15">
        <v>17700</v>
      </c>
      <c r="BT7" s="15">
        <v>0</v>
      </c>
      <c r="BU7" s="15">
        <v>0</v>
      </c>
      <c r="BV7" s="14">
        <f t="shared" si="5"/>
        <v>17700</v>
      </c>
      <c r="BW7" s="15">
        <v>36832</v>
      </c>
      <c r="BX7" s="15">
        <v>4420</v>
      </c>
      <c r="BY7" s="15">
        <v>36832</v>
      </c>
      <c r="BZ7" s="15">
        <v>19184</v>
      </c>
      <c r="CA7" s="15">
        <v>0</v>
      </c>
      <c r="CB7" s="15">
        <v>97268</v>
      </c>
      <c r="CC7" s="15">
        <v>1217602</v>
      </c>
      <c r="CD7" s="15">
        <v>73055</v>
      </c>
      <c r="CE7" s="15">
        <v>0</v>
      </c>
      <c r="CF7" s="14">
        <f t="shared" si="6"/>
        <v>1290657.7558409092</v>
      </c>
      <c r="CG7" s="18"/>
      <c r="CH7" s="16"/>
      <c r="CI7" s="17"/>
      <c r="CJ7" s="17"/>
    </row>
    <row r="8" spans="1:88" x14ac:dyDescent="0.35">
      <c r="A8" s="13">
        <v>80030193</v>
      </c>
      <c r="B8" s="17" t="s">
        <v>95</v>
      </c>
      <c r="C8" s="17" t="s">
        <v>83</v>
      </c>
      <c r="D8" s="17" t="s">
        <v>286</v>
      </c>
      <c r="E8" s="17">
        <v>6571</v>
      </c>
      <c r="F8" s="17" t="s">
        <v>88</v>
      </c>
      <c r="G8" s="17" t="s">
        <v>89</v>
      </c>
      <c r="H8" s="17">
        <v>80030193</v>
      </c>
      <c r="I8" s="17" t="s">
        <v>100</v>
      </c>
      <c r="J8" s="17" t="s">
        <v>94</v>
      </c>
      <c r="K8" s="17">
        <v>0</v>
      </c>
      <c r="L8" s="17">
        <v>0</v>
      </c>
      <c r="M8" s="17" t="s">
        <v>96</v>
      </c>
      <c r="N8" s="19">
        <v>45587</v>
      </c>
      <c r="O8" s="19">
        <v>45889</v>
      </c>
      <c r="P8" s="20">
        <v>1423500</v>
      </c>
      <c r="Q8" s="17">
        <v>20</v>
      </c>
      <c r="R8" s="14">
        <f t="shared" si="7"/>
        <v>949000</v>
      </c>
      <c r="S8" s="15">
        <v>133333</v>
      </c>
      <c r="T8" s="15">
        <v>0</v>
      </c>
      <c r="U8" s="7">
        <f t="shared" si="8"/>
        <v>0</v>
      </c>
      <c r="V8" s="15">
        <v>5</v>
      </c>
      <c r="W8" s="7">
        <f t="shared" si="9"/>
        <v>56616.477272727265</v>
      </c>
      <c r="X8" s="15">
        <v>0</v>
      </c>
      <c r="Y8" s="7">
        <f t="shared" si="0"/>
        <v>0</v>
      </c>
      <c r="Z8" s="15">
        <v>0</v>
      </c>
      <c r="AA8" s="7">
        <f t="shared" si="10"/>
        <v>0</v>
      </c>
      <c r="AB8" s="15">
        <v>0</v>
      </c>
      <c r="AC8" s="14">
        <f t="shared" si="11"/>
        <v>0</v>
      </c>
      <c r="AD8" s="14">
        <f t="shared" si="1"/>
        <v>5</v>
      </c>
      <c r="AE8" s="14">
        <f t="shared" si="2"/>
        <v>56616.477272727265</v>
      </c>
      <c r="AF8" s="15">
        <v>0</v>
      </c>
      <c r="AG8" s="7">
        <f t="shared" si="12"/>
        <v>0</v>
      </c>
      <c r="AH8" s="15">
        <v>0</v>
      </c>
      <c r="AI8" s="7">
        <f t="shared" si="13"/>
        <v>0</v>
      </c>
      <c r="AJ8" s="15">
        <v>0</v>
      </c>
      <c r="AK8" s="14">
        <f t="shared" si="14"/>
        <v>0</v>
      </c>
      <c r="AL8" s="15">
        <v>0</v>
      </c>
      <c r="AM8" s="7">
        <f t="shared" si="15"/>
        <v>0</v>
      </c>
      <c r="AN8" s="15">
        <v>0</v>
      </c>
      <c r="AO8" s="15">
        <v>0</v>
      </c>
      <c r="AP8" s="15">
        <v>0</v>
      </c>
      <c r="AQ8" s="15">
        <v>0</v>
      </c>
      <c r="AR8" s="15">
        <v>54</v>
      </c>
      <c r="AS8" s="7">
        <f t="shared" si="16"/>
        <v>122291.59090909088</v>
      </c>
      <c r="AT8" s="14">
        <f t="shared" si="3"/>
        <v>54</v>
      </c>
      <c r="AU8" s="14">
        <f t="shared" si="3"/>
        <v>122291.59090909088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110000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148584</v>
      </c>
      <c r="BQ8" s="15">
        <v>30200</v>
      </c>
      <c r="BR8" s="14">
        <f t="shared" si="4"/>
        <v>178784</v>
      </c>
      <c r="BS8" s="15">
        <v>49600</v>
      </c>
      <c r="BT8" s="15">
        <v>0</v>
      </c>
      <c r="BU8" s="15">
        <v>0</v>
      </c>
      <c r="BV8" s="14">
        <f t="shared" si="5"/>
        <v>49600</v>
      </c>
      <c r="BW8" s="15">
        <v>114266</v>
      </c>
      <c r="BX8" s="15">
        <v>13712</v>
      </c>
      <c r="BY8" s="15">
        <v>114266</v>
      </c>
      <c r="BZ8" s="15">
        <v>53725</v>
      </c>
      <c r="CA8" s="15">
        <v>0</v>
      </c>
      <c r="CB8" s="15">
        <v>295969</v>
      </c>
      <c r="CC8" s="15">
        <v>1895594</v>
      </c>
      <c r="CD8" s="15">
        <v>113737</v>
      </c>
      <c r="CE8" s="15">
        <v>0</v>
      </c>
      <c r="CF8" s="14">
        <f t="shared" si="6"/>
        <v>2009331.0681818181</v>
      </c>
      <c r="CG8" s="18"/>
      <c r="CH8" s="16"/>
      <c r="CI8" s="16"/>
      <c r="CJ8" s="15"/>
    </row>
    <row r="9" spans="1:88" x14ac:dyDescent="0.35">
      <c r="A9" s="13">
        <v>1143391709</v>
      </c>
      <c r="B9" s="17" t="s">
        <v>97</v>
      </c>
      <c r="C9" s="17" t="s">
        <v>83</v>
      </c>
      <c r="D9" s="17" t="s">
        <v>286</v>
      </c>
      <c r="E9" s="17">
        <v>5421</v>
      </c>
      <c r="F9" s="17" t="s">
        <v>86</v>
      </c>
      <c r="G9" s="17" t="s">
        <v>87</v>
      </c>
      <c r="H9" s="17">
        <v>1143391709</v>
      </c>
      <c r="I9" s="17" t="s">
        <v>101</v>
      </c>
      <c r="J9" s="17" t="s">
        <v>94</v>
      </c>
      <c r="K9" s="17">
        <v>0</v>
      </c>
      <c r="L9" s="17">
        <v>0</v>
      </c>
      <c r="M9" s="17" t="s">
        <v>96</v>
      </c>
      <c r="N9" s="19">
        <v>45576</v>
      </c>
      <c r="O9" s="19">
        <v>45855</v>
      </c>
      <c r="P9" s="20">
        <v>1423500</v>
      </c>
      <c r="Q9" s="17">
        <v>0</v>
      </c>
      <c r="R9" s="14">
        <f t="shared" si="7"/>
        <v>0</v>
      </c>
      <c r="S9" s="15">
        <v>0</v>
      </c>
      <c r="T9" s="15">
        <v>2.12</v>
      </c>
      <c r="U9" s="7">
        <f t="shared" si="8"/>
        <v>17146.704545454544</v>
      </c>
      <c r="V9" s="15">
        <v>0</v>
      </c>
      <c r="W9" s="7">
        <f t="shared" si="9"/>
        <v>0</v>
      </c>
      <c r="X9" s="15">
        <v>0</v>
      </c>
      <c r="Y9" s="7">
        <f t="shared" si="0"/>
        <v>0</v>
      </c>
      <c r="Z9" s="15">
        <v>0</v>
      </c>
      <c r="AA9" s="7">
        <f t="shared" si="10"/>
        <v>0</v>
      </c>
      <c r="AB9" s="15">
        <v>0</v>
      </c>
      <c r="AC9" s="14">
        <f t="shared" si="11"/>
        <v>0</v>
      </c>
      <c r="AD9" s="14">
        <f t="shared" si="1"/>
        <v>2.12</v>
      </c>
      <c r="AE9" s="14">
        <f t="shared" si="2"/>
        <v>17146.704545454544</v>
      </c>
      <c r="AF9" s="15">
        <v>0</v>
      </c>
      <c r="AG9" s="7">
        <f t="shared" si="12"/>
        <v>0</v>
      </c>
      <c r="AH9" s="15">
        <v>0</v>
      </c>
      <c r="AI9" s="7">
        <f t="shared" si="13"/>
        <v>0</v>
      </c>
      <c r="AJ9" s="15">
        <v>0</v>
      </c>
      <c r="AK9" s="14">
        <f t="shared" si="14"/>
        <v>0</v>
      </c>
      <c r="AL9" s="15">
        <v>0</v>
      </c>
      <c r="AM9" s="7">
        <f t="shared" si="15"/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7">
        <f t="shared" si="16"/>
        <v>0</v>
      </c>
      <c r="AT9" s="14">
        <f t="shared" si="3"/>
        <v>0</v>
      </c>
      <c r="AU9" s="14">
        <f t="shared" si="3"/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2057.6045454545451</v>
      </c>
      <c r="BQ9" s="15">
        <v>179.01159545454544</v>
      </c>
      <c r="BR9" s="14">
        <f t="shared" si="4"/>
        <v>2236.6161409090905</v>
      </c>
      <c r="BS9" s="15">
        <v>685.86818181818182</v>
      </c>
      <c r="BT9" s="15">
        <v>0</v>
      </c>
      <c r="BU9" s="15">
        <v>0</v>
      </c>
      <c r="BV9" s="14">
        <f t="shared" si="5"/>
        <v>685.86818181818182</v>
      </c>
      <c r="BW9" s="15">
        <v>1428.8348897727271</v>
      </c>
      <c r="BX9" s="15">
        <v>171.46704545454546</v>
      </c>
      <c r="BY9" s="15">
        <v>1428.8348897727271</v>
      </c>
      <c r="BZ9" s="15">
        <v>744.16697727272719</v>
      </c>
      <c r="CA9" s="15">
        <v>0</v>
      </c>
      <c r="CB9" s="15">
        <v>3773.3038022727269</v>
      </c>
      <c r="CC9" s="15">
        <v>23842.492670454543</v>
      </c>
      <c r="CD9" s="15">
        <v>1023</v>
      </c>
      <c r="CE9" s="15">
        <v>0</v>
      </c>
      <c r="CF9" s="14">
        <f t="shared" si="6"/>
        <v>24865.492670454543</v>
      </c>
      <c r="CG9" s="18"/>
      <c r="CH9" s="16"/>
      <c r="CI9" s="17"/>
      <c r="CJ9" s="17"/>
    </row>
    <row r="10" spans="1:88" x14ac:dyDescent="0.35">
      <c r="A10" s="13">
        <v>1122814654</v>
      </c>
      <c r="B10" s="17" t="s">
        <v>97</v>
      </c>
      <c r="C10" s="17" t="s">
        <v>83</v>
      </c>
      <c r="D10" s="17" t="s">
        <v>286</v>
      </c>
      <c r="E10" s="17">
        <v>5421</v>
      </c>
      <c r="F10" s="17" t="s">
        <v>86</v>
      </c>
      <c r="G10" s="17" t="s">
        <v>87</v>
      </c>
      <c r="H10" s="17">
        <v>1122814654</v>
      </c>
      <c r="I10" s="17" t="s">
        <v>102</v>
      </c>
      <c r="J10" s="17" t="s">
        <v>94</v>
      </c>
      <c r="K10" s="17">
        <v>0</v>
      </c>
      <c r="L10" s="17">
        <v>0</v>
      </c>
      <c r="M10" s="17" t="s">
        <v>96</v>
      </c>
      <c r="N10" s="19">
        <v>45576</v>
      </c>
      <c r="O10" s="19">
        <v>45855</v>
      </c>
      <c r="P10" s="20">
        <v>1423500</v>
      </c>
      <c r="Q10" s="17">
        <v>0</v>
      </c>
      <c r="R10" s="14">
        <f t="shared" si="7"/>
        <v>0</v>
      </c>
      <c r="S10" s="15">
        <v>0</v>
      </c>
      <c r="T10" s="15">
        <v>4.62</v>
      </c>
      <c r="U10" s="7">
        <f t="shared" si="8"/>
        <v>37366.875</v>
      </c>
      <c r="V10" s="15">
        <v>0</v>
      </c>
      <c r="W10" s="7">
        <f t="shared" si="9"/>
        <v>0</v>
      </c>
      <c r="X10" s="15">
        <v>0</v>
      </c>
      <c r="Y10" s="7">
        <f t="shared" si="0"/>
        <v>0</v>
      </c>
      <c r="Z10" s="15">
        <v>0</v>
      </c>
      <c r="AA10" s="7">
        <f t="shared" si="10"/>
        <v>0</v>
      </c>
      <c r="AB10" s="15">
        <v>0</v>
      </c>
      <c r="AC10" s="14">
        <f t="shared" si="11"/>
        <v>0</v>
      </c>
      <c r="AD10" s="14">
        <f t="shared" si="1"/>
        <v>4.62</v>
      </c>
      <c r="AE10" s="14">
        <f t="shared" si="2"/>
        <v>37366.875</v>
      </c>
      <c r="AF10" s="15">
        <v>0</v>
      </c>
      <c r="AG10" s="7">
        <f t="shared" si="12"/>
        <v>0</v>
      </c>
      <c r="AH10" s="15">
        <v>0</v>
      </c>
      <c r="AI10" s="7">
        <f t="shared" si="13"/>
        <v>0</v>
      </c>
      <c r="AJ10" s="15">
        <v>0</v>
      </c>
      <c r="AK10" s="14">
        <f t="shared" si="14"/>
        <v>0</v>
      </c>
      <c r="AL10" s="15">
        <v>0</v>
      </c>
      <c r="AM10" s="7">
        <f t="shared" si="15"/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7">
        <f t="shared" si="16"/>
        <v>0</v>
      </c>
      <c r="AT10" s="14">
        <f t="shared" si="3"/>
        <v>0</v>
      </c>
      <c r="AU10" s="14">
        <f t="shared" si="3"/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4484.0249999999996</v>
      </c>
      <c r="BQ10" s="15">
        <v>390.11017499999997</v>
      </c>
      <c r="BR10" s="14">
        <f t="shared" si="4"/>
        <v>4874.1351749999994</v>
      </c>
      <c r="BS10" s="15">
        <v>1494.675</v>
      </c>
      <c r="BT10" s="15">
        <v>0</v>
      </c>
      <c r="BU10" s="15">
        <v>0</v>
      </c>
      <c r="BV10" s="14">
        <f t="shared" si="5"/>
        <v>1494.675</v>
      </c>
      <c r="BW10" s="15">
        <v>3113.7816937500002</v>
      </c>
      <c r="BX10" s="15">
        <v>373.66874999999999</v>
      </c>
      <c r="BY10" s="15">
        <v>3113.7816937500002</v>
      </c>
      <c r="BZ10" s="15">
        <v>1621.7223750000001</v>
      </c>
      <c r="CA10" s="15">
        <v>0</v>
      </c>
      <c r="CB10" s="15">
        <v>8222.9545125000004</v>
      </c>
      <c r="CC10" s="15">
        <v>51958.639687500006</v>
      </c>
      <c r="CD10" s="15">
        <v>2728</v>
      </c>
      <c r="CE10" s="15">
        <v>0</v>
      </c>
      <c r="CF10" s="14">
        <f t="shared" si="6"/>
        <v>54686.639687499999</v>
      </c>
      <c r="CG10" s="18"/>
      <c r="CH10" s="16"/>
      <c r="CI10" s="17"/>
      <c r="CJ10" s="17"/>
    </row>
    <row r="11" spans="1:88" x14ac:dyDescent="0.35">
      <c r="A11" s="13">
        <v>1026131014</v>
      </c>
      <c r="B11" s="17" t="s">
        <v>97</v>
      </c>
      <c r="C11" s="17" t="s">
        <v>83</v>
      </c>
      <c r="D11" s="17" t="s">
        <v>286</v>
      </c>
      <c r="E11" s="17">
        <v>5421</v>
      </c>
      <c r="F11" s="17" t="s">
        <v>86</v>
      </c>
      <c r="G11" s="17" t="s">
        <v>87</v>
      </c>
      <c r="H11" s="17">
        <v>1026131014</v>
      </c>
      <c r="I11" s="17" t="s">
        <v>103</v>
      </c>
      <c r="J11" s="17" t="s">
        <v>94</v>
      </c>
      <c r="K11" s="17">
        <v>0</v>
      </c>
      <c r="L11" s="17">
        <v>0</v>
      </c>
      <c r="M11" s="17" t="s">
        <v>96</v>
      </c>
      <c r="N11" s="19">
        <v>45576</v>
      </c>
      <c r="O11" s="19">
        <v>45855</v>
      </c>
      <c r="P11" s="20">
        <v>1423500</v>
      </c>
      <c r="Q11" s="17">
        <v>0</v>
      </c>
      <c r="R11" s="14">
        <f t="shared" si="7"/>
        <v>0</v>
      </c>
      <c r="S11" s="15">
        <v>0</v>
      </c>
      <c r="T11" s="15">
        <v>5.62</v>
      </c>
      <c r="U11" s="7">
        <f t="shared" si="8"/>
        <v>45454.943181818177</v>
      </c>
      <c r="V11" s="15">
        <v>0</v>
      </c>
      <c r="W11" s="7">
        <f t="shared" si="9"/>
        <v>0</v>
      </c>
      <c r="X11" s="15">
        <v>0</v>
      </c>
      <c r="Y11" s="7">
        <f t="shared" si="0"/>
        <v>0</v>
      </c>
      <c r="Z11" s="15">
        <v>0</v>
      </c>
      <c r="AA11" s="7">
        <f t="shared" si="10"/>
        <v>0</v>
      </c>
      <c r="AB11" s="15">
        <v>0</v>
      </c>
      <c r="AC11" s="14">
        <f t="shared" si="11"/>
        <v>0</v>
      </c>
      <c r="AD11" s="14">
        <f t="shared" si="1"/>
        <v>5.62</v>
      </c>
      <c r="AE11" s="14">
        <f t="shared" si="2"/>
        <v>45454.943181818177</v>
      </c>
      <c r="AF11" s="15">
        <v>0</v>
      </c>
      <c r="AG11" s="7">
        <f t="shared" si="12"/>
        <v>0</v>
      </c>
      <c r="AH11" s="15">
        <v>0</v>
      </c>
      <c r="AI11" s="7">
        <f t="shared" si="13"/>
        <v>0</v>
      </c>
      <c r="AJ11" s="15">
        <v>0</v>
      </c>
      <c r="AK11" s="14">
        <f t="shared" si="14"/>
        <v>0</v>
      </c>
      <c r="AL11" s="15">
        <v>0</v>
      </c>
      <c r="AM11" s="7">
        <f t="shared" si="15"/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7">
        <f t="shared" si="16"/>
        <v>0</v>
      </c>
      <c r="AT11" s="14">
        <f t="shared" si="3"/>
        <v>0</v>
      </c>
      <c r="AU11" s="14">
        <f t="shared" si="3"/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5454.5931818181807</v>
      </c>
      <c r="BQ11" s="15">
        <v>474.54960681818176</v>
      </c>
      <c r="BR11" s="14">
        <f t="shared" si="4"/>
        <v>5929.1427886363626</v>
      </c>
      <c r="BS11" s="15">
        <v>1818.1977272727272</v>
      </c>
      <c r="BT11" s="15">
        <v>0</v>
      </c>
      <c r="BU11" s="15">
        <v>0</v>
      </c>
      <c r="BV11" s="14">
        <f t="shared" si="5"/>
        <v>1818.1977272727272</v>
      </c>
      <c r="BW11" s="15">
        <v>3787.7604153409088</v>
      </c>
      <c r="BX11" s="15">
        <v>454.5494318181818</v>
      </c>
      <c r="BY11" s="15">
        <v>3787.7604153409088</v>
      </c>
      <c r="BZ11" s="15">
        <v>1972.7445340909089</v>
      </c>
      <c r="CA11" s="15">
        <v>0</v>
      </c>
      <c r="CB11" s="15">
        <v>10002.814796590908</v>
      </c>
      <c r="CC11" s="15">
        <v>63205.098494318176</v>
      </c>
      <c r="CD11" s="15">
        <v>3318</v>
      </c>
      <c r="CE11" s="15">
        <v>0</v>
      </c>
      <c r="CF11" s="14">
        <f t="shared" si="6"/>
        <v>66523.098494318168</v>
      </c>
      <c r="CG11" s="18"/>
      <c r="CH11" s="16"/>
      <c r="CI11" s="17"/>
      <c r="CJ11" s="17"/>
    </row>
    <row r="12" spans="1:88" x14ac:dyDescent="0.35">
      <c r="A12" s="13">
        <v>1033750327</v>
      </c>
      <c r="B12" s="17" t="s">
        <v>95</v>
      </c>
      <c r="C12" s="17" t="s">
        <v>83</v>
      </c>
      <c r="D12" s="17" t="s">
        <v>286</v>
      </c>
      <c r="E12" s="17">
        <v>6571</v>
      </c>
      <c r="F12" s="17" t="s">
        <v>88</v>
      </c>
      <c r="G12" s="17" t="s">
        <v>89</v>
      </c>
      <c r="H12" s="17">
        <v>1033750327</v>
      </c>
      <c r="I12" s="17" t="s">
        <v>119</v>
      </c>
      <c r="J12" s="17" t="s">
        <v>94</v>
      </c>
      <c r="K12" s="17">
        <v>0</v>
      </c>
      <c r="L12" s="17">
        <v>0</v>
      </c>
      <c r="M12" s="17" t="s">
        <v>96</v>
      </c>
      <c r="N12" s="19">
        <v>45590</v>
      </c>
      <c r="O12" s="19">
        <v>45889</v>
      </c>
      <c r="P12" s="20">
        <v>782925</v>
      </c>
      <c r="Q12" s="17">
        <v>18</v>
      </c>
      <c r="R12" s="14">
        <f t="shared" si="7"/>
        <v>469755</v>
      </c>
      <c r="S12" s="15">
        <v>113333</v>
      </c>
      <c r="T12" s="15">
        <v>10.45</v>
      </c>
      <c r="U12" s="7">
        <f>+P12/110*T12*1.25</f>
        <v>92972.34375</v>
      </c>
      <c r="V12" s="15">
        <v>0</v>
      </c>
      <c r="W12" s="7">
        <f t="shared" si="9"/>
        <v>0</v>
      </c>
      <c r="X12" s="15">
        <v>0</v>
      </c>
      <c r="Y12" s="7">
        <f t="shared" si="0"/>
        <v>0</v>
      </c>
      <c r="Z12" s="15">
        <v>0</v>
      </c>
      <c r="AA12" s="7">
        <f t="shared" si="10"/>
        <v>0</v>
      </c>
      <c r="AB12" s="15">
        <v>0</v>
      </c>
      <c r="AC12" s="14">
        <f t="shared" si="11"/>
        <v>0</v>
      </c>
      <c r="AD12" s="14">
        <f t="shared" si="1"/>
        <v>10.45</v>
      </c>
      <c r="AE12" s="14">
        <f t="shared" si="2"/>
        <v>92972.34375</v>
      </c>
      <c r="AF12" s="15">
        <v>0</v>
      </c>
      <c r="AG12" s="7">
        <f t="shared" si="12"/>
        <v>0</v>
      </c>
      <c r="AH12" s="15">
        <v>0</v>
      </c>
      <c r="AI12" s="7">
        <f t="shared" si="13"/>
        <v>0</v>
      </c>
      <c r="AJ12" s="15">
        <v>0</v>
      </c>
      <c r="AK12" s="14">
        <f t="shared" si="14"/>
        <v>0</v>
      </c>
      <c r="AL12" s="15">
        <v>0</v>
      </c>
      <c r="AM12" s="7">
        <f t="shared" si="15"/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3</v>
      </c>
      <c r="AS12" s="7">
        <f>+P12/110*AR12*0.35</f>
        <v>7473.3749999999991</v>
      </c>
      <c r="AT12" s="14">
        <f t="shared" si="3"/>
        <v>3</v>
      </c>
      <c r="AU12" s="14">
        <f t="shared" si="3"/>
        <v>7473.3749999999991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93333</v>
      </c>
      <c r="BD12" s="15">
        <v>70000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117736</v>
      </c>
      <c r="BQ12" s="15">
        <v>19700</v>
      </c>
      <c r="BR12" s="14">
        <f t="shared" si="4"/>
        <v>137436</v>
      </c>
      <c r="BS12" s="15">
        <v>25700</v>
      </c>
      <c r="BT12" s="15">
        <v>0</v>
      </c>
      <c r="BU12" s="15">
        <v>0</v>
      </c>
      <c r="BV12" s="14">
        <f t="shared" si="5"/>
        <v>25700</v>
      </c>
      <c r="BW12" s="15">
        <v>62792</v>
      </c>
      <c r="BX12" s="15">
        <v>7535</v>
      </c>
      <c r="BY12" s="15">
        <v>62792</v>
      </c>
      <c r="BZ12" s="15">
        <v>27785</v>
      </c>
      <c r="CA12" s="15">
        <v>0</v>
      </c>
      <c r="CB12" s="15">
        <v>160904</v>
      </c>
      <c r="CC12" s="15">
        <v>1170907</v>
      </c>
      <c r="CD12" s="15">
        <v>70255</v>
      </c>
      <c r="CE12" s="15">
        <v>0</v>
      </c>
      <c r="CF12" s="14">
        <f t="shared" si="6"/>
        <v>1241161.71875</v>
      </c>
      <c r="CG12" s="18"/>
      <c r="CH12" s="16"/>
      <c r="CI12" s="17"/>
      <c r="CJ12" s="17"/>
    </row>
    <row r="13" spans="1:88" x14ac:dyDescent="0.35">
      <c r="A13" s="13">
        <v>1082919026</v>
      </c>
      <c r="B13" s="17" t="s">
        <v>95</v>
      </c>
      <c r="C13" s="17" t="s">
        <v>83</v>
      </c>
      <c r="D13" s="17" t="s">
        <v>286</v>
      </c>
      <c r="E13" s="17">
        <v>6571</v>
      </c>
      <c r="F13" s="17" t="s">
        <v>88</v>
      </c>
      <c r="G13" s="17" t="s">
        <v>89</v>
      </c>
      <c r="H13" s="17">
        <v>1082919026</v>
      </c>
      <c r="I13" s="17" t="s">
        <v>120</v>
      </c>
      <c r="J13" s="17" t="s">
        <v>94</v>
      </c>
      <c r="K13" s="17">
        <v>0</v>
      </c>
      <c r="L13" s="17">
        <v>0</v>
      </c>
      <c r="M13" s="17" t="s">
        <v>96</v>
      </c>
      <c r="N13" s="19">
        <v>45590</v>
      </c>
      <c r="O13" s="19">
        <v>1</v>
      </c>
      <c r="P13" s="20">
        <v>1423500</v>
      </c>
      <c r="Q13" s="17">
        <v>30</v>
      </c>
      <c r="R13" s="14">
        <f t="shared" si="7"/>
        <v>1423500</v>
      </c>
      <c r="S13" s="15">
        <v>200000</v>
      </c>
      <c r="T13" s="15">
        <v>0</v>
      </c>
      <c r="U13" s="7">
        <f t="shared" si="8"/>
        <v>0</v>
      </c>
      <c r="V13" s="15">
        <v>3.12</v>
      </c>
      <c r="W13" s="7">
        <f t="shared" si="9"/>
        <v>35328.681818181816</v>
      </c>
      <c r="X13" s="15">
        <v>0</v>
      </c>
      <c r="Y13" s="7">
        <f t="shared" si="0"/>
        <v>0</v>
      </c>
      <c r="Z13" s="15">
        <v>0</v>
      </c>
      <c r="AA13" s="7">
        <f t="shared" si="10"/>
        <v>0</v>
      </c>
      <c r="AB13" s="15">
        <v>0</v>
      </c>
      <c r="AC13" s="14">
        <f t="shared" si="11"/>
        <v>0</v>
      </c>
      <c r="AD13" s="14">
        <f t="shared" si="1"/>
        <v>3.12</v>
      </c>
      <c r="AE13" s="14">
        <f t="shared" si="2"/>
        <v>35328.681818181816</v>
      </c>
      <c r="AF13" s="15">
        <v>0</v>
      </c>
      <c r="AG13" s="7">
        <f t="shared" si="12"/>
        <v>0</v>
      </c>
      <c r="AH13" s="15">
        <v>0</v>
      </c>
      <c r="AI13" s="7">
        <f t="shared" si="13"/>
        <v>0</v>
      </c>
      <c r="AJ13" s="15">
        <v>0</v>
      </c>
      <c r="AK13" s="14">
        <f t="shared" si="14"/>
        <v>0</v>
      </c>
      <c r="AL13" s="15">
        <v>0</v>
      </c>
      <c r="AM13" s="7">
        <f t="shared" si="15"/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56</v>
      </c>
      <c r="AS13" s="7">
        <f t="shared" si="16"/>
        <v>126820.90909090907</v>
      </c>
      <c r="AT13" s="14">
        <f t="shared" si="3"/>
        <v>56</v>
      </c>
      <c r="AU13" s="14">
        <f t="shared" si="3"/>
        <v>126820.90909090907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110000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203574</v>
      </c>
      <c r="BQ13" s="15">
        <v>41400</v>
      </c>
      <c r="BR13" s="14">
        <f t="shared" si="4"/>
        <v>244974</v>
      </c>
      <c r="BS13" s="15">
        <v>67900</v>
      </c>
      <c r="BT13" s="15">
        <v>0</v>
      </c>
      <c r="BU13" s="15">
        <v>0</v>
      </c>
      <c r="BV13" s="14">
        <f t="shared" si="5"/>
        <v>67900</v>
      </c>
      <c r="BW13" s="15">
        <v>157965</v>
      </c>
      <c r="BX13" s="15">
        <v>18957</v>
      </c>
      <c r="BY13" s="15">
        <v>157965</v>
      </c>
      <c r="BZ13" s="15">
        <v>73592</v>
      </c>
      <c r="CA13" s="15">
        <v>0</v>
      </c>
      <c r="CB13" s="15">
        <v>408479</v>
      </c>
      <c r="CC13" s="15">
        <v>2617003</v>
      </c>
      <c r="CD13" s="15">
        <v>157021</v>
      </c>
      <c r="CE13" s="15">
        <v>0</v>
      </c>
      <c r="CF13" s="14">
        <f t="shared" si="6"/>
        <v>2774023.5909090908</v>
      </c>
      <c r="CG13" s="18"/>
      <c r="CH13" s="16"/>
      <c r="CI13" s="17"/>
      <c r="CJ13" s="17"/>
    </row>
    <row r="14" spans="1:88" x14ac:dyDescent="0.35">
      <c r="A14" s="13">
        <v>1002501733</v>
      </c>
      <c r="B14" s="17" t="s">
        <v>95</v>
      </c>
      <c r="C14" s="17" t="s">
        <v>83</v>
      </c>
      <c r="D14" s="17" t="s">
        <v>286</v>
      </c>
      <c r="E14" s="17">
        <v>6571</v>
      </c>
      <c r="F14" s="17" t="s">
        <v>88</v>
      </c>
      <c r="G14" s="17" t="s">
        <v>89</v>
      </c>
      <c r="H14" s="17">
        <v>1002501733</v>
      </c>
      <c r="I14" s="17" t="s">
        <v>121</v>
      </c>
      <c r="J14" s="17" t="s">
        <v>94</v>
      </c>
      <c r="K14" s="17">
        <v>0</v>
      </c>
      <c r="L14" s="17">
        <v>0</v>
      </c>
      <c r="M14" s="17" t="s">
        <v>96</v>
      </c>
      <c r="N14" s="19">
        <v>45604</v>
      </c>
      <c r="O14" s="19">
        <v>45889</v>
      </c>
      <c r="P14" s="20">
        <v>1423500</v>
      </c>
      <c r="Q14" s="17">
        <v>20</v>
      </c>
      <c r="R14" s="14">
        <f t="shared" si="7"/>
        <v>949000</v>
      </c>
      <c r="S14" s="15">
        <v>133333</v>
      </c>
      <c r="T14" s="15">
        <v>3.62</v>
      </c>
      <c r="U14" s="7">
        <f t="shared" si="8"/>
        <v>29278.806818181816</v>
      </c>
      <c r="V14" s="15">
        <v>0</v>
      </c>
      <c r="W14" s="7">
        <f t="shared" si="9"/>
        <v>0</v>
      </c>
      <c r="X14" s="15">
        <v>0</v>
      </c>
      <c r="Y14" s="7">
        <f t="shared" si="0"/>
        <v>0</v>
      </c>
      <c r="Z14" s="15">
        <v>0</v>
      </c>
      <c r="AA14" s="7">
        <f t="shared" si="10"/>
        <v>0</v>
      </c>
      <c r="AB14" s="15">
        <v>0</v>
      </c>
      <c r="AC14" s="14">
        <f t="shared" si="11"/>
        <v>0</v>
      </c>
      <c r="AD14" s="14">
        <f t="shared" si="1"/>
        <v>3.62</v>
      </c>
      <c r="AE14" s="14">
        <f t="shared" si="2"/>
        <v>29278.806818181816</v>
      </c>
      <c r="AF14" s="15">
        <v>0</v>
      </c>
      <c r="AG14" s="7">
        <f t="shared" si="12"/>
        <v>0</v>
      </c>
      <c r="AH14" s="15">
        <v>0</v>
      </c>
      <c r="AI14" s="7">
        <f t="shared" si="13"/>
        <v>0</v>
      </c>
      <c r="AJ14" s="15">
        <v>0</v>
      </c>
      <c r="AK14" s="14">
        <f t="shared" si="14"/>
        <v>0</v>
      </c>
      <c r="AL14" s="15">
        <v>0</v>
      </c>
      <c r="AM14" s="7">
        <f t="shared" si="15"/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74.73</v>
      </c>
      <c r="AS14" s="7">
        <f t="shared" si="16"/>
        <v>169237.97386363635</v>
      </c>
      <c r="AT14" s="14">
        <f t="shared" si="3"/>
        <v>74.73</v>
      </c>
      <c r="AU14" s="14">
        <f t="shared" si="3"/>
        <v>169237.97386363635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70000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146199</v>
      </c>
      <c r="BQ14" s="15">
        <v>29700</v>
      </c>
      <c r="BR14" s="14">
        <f t="shared" si="4"/>
        <v>175899</v>
      </c>
      <c r="BS14" s="15">
        <v>48800</v>
      </c>
      <c r="BT14" s="15">
        <v>0</v>
      </c>
      <c r="BU14" s="15">
        <v>0</v>
      </c>
      <c r="BV14" s="14">
        <f t="shared" si="5"/>
        <v>48800</v>
      </c>
      <c r="BW14" s="15">
        <v>112566</v>
      </c>
      <c r="BX14" s="15">
        <v>13509</v>
      </c>
      <c r="BY14" s="15">
        <v>112566</v>
      </c>
      <c r="BZ14" s="15">
        <v>52840</v>
      </c>
      <c r="CA14" s="15">
        <v>0</v>
      </c>
      <c r="CB14" s="15">
        <v>291481</v>
      </c>
      <c r="CC14" s="15">
        <v>1867030</v>
      </c>
      <c r="CD14" s="15">
        <v>112022</v>
      </c>
      <c r="CE14" s="15">
        <v>0</v>
      </c>
      <c r="CF14" s="14">
        <f t="shared" si="6"/>
        <v>1979051.7806818183</v>
      </c>
      <c r="CG14" s="18"/>
      <c r="CH14" s="16"/>
      <c r="CI14" s="17"/>
      <c r="CJ14" s="15"/>
    </row>
    <row r="15" spans="1:88" x14ac:dyDescent="0.35">
      <c r="A15" s="13">
        <v>1023969847</v>
      </c>
      <c r="B15" s="17" t="s">
        <v>95</v>
      </c>
      <c r="C15" s="17" t="s">
        <v>83</v>
      </c>
      <c r="D15" s="17" t="s">
        <v>286</v>
      </c>
      <c r="E15" s="17">
        <v>6571</v>
      </c>
      <c r="F15" s="17" t="s">
        <v>88</v>
      </c>
      <c r="G15" s="17" t="s">
        <v>89</v>
      </c>
      <c r="H15" s="17">
        <v>1023969847</v>
      </c>
      <c r="I15" s="17" t="s">
        <v>122</v>
      </c>
      <c r="J15" s="17" t="s">
        <v>94</v>
      </c>
      <c r="K15" s="17">
        <v>0</v>
      </c>
      <c r="L15" s="17">
        <v>0</v>
      </c>
      <c r="M15" s="17" t="s">
        <v>96</v>
      </c>
      <c r="N15" s="19">
        <v>45604</v>
      </c>
      <c r="O15" s="19">
        <v>45889</v>
      </c>
      <c r="P15" s="20">
        <v>1423500</v>
      </c>
      <c r="Q15" s="17">
        <v>20</v>
      </c>
      <c r="R15" s="14">
        <f t="shared" si="7"/>
        <v>949000</v>
      </c>
      <c r="S15" s="15">
        <v>133333</v>
      </c>
      <c r="T15" s="15">
        <v>9.94</v>
      </c>
      <c r="U15" s="7">
        <f t="shared" si="8"/>
        <v>80395.397727272721</v>
      </c>
      <c r="V15" s="15">
        <v>0</v>
      </c>
      <c r="W15" s="7">
        <f t="shared" si="9"/>
        <v>0</v>
      </c>
      <c r="X15" s="15">
        <v>0</v>
      </c>
      <c r="Y15" s="7">
        <f t="shared" si="0"/>
        <v>0</v>
      </c>
      <c r="Z15" s="15">
        <v>0</v>
      </c>
      <c r="AA15" s="7">
        <f t="shared" si="10"/>
        <v>0</v>
      </c>
      <c r="AB15" s="15">
        <v>0</v>
      </c>
      <c r="AC15" s="14">
        <f t="shared" si="11"/>
        <v>0</v>
      </c>
      <c r="AD15" s="14">
        <f t="shared" si="1"/>
        <v>9.94</v>
      </c>
      <c r="AE15" s="14">
        <f t="shared" si="2"/>
        <v>80395.397727272721</v>
      </c>
      <c r="AF15" s="15">
        <v>0</v>
      </c>
      <c r="AG15" s="7">
        <f t="shared" si="12"/>
        <v>0</v>
      </c>
      <c r="AH15" s="15">
        <v>0</v>
      </c>
      <c r="AI15" s="7">
        <f t="shared" si="13"/>
        <v>0</v>
      </c>
      <c r="AJ15" s="15">
        <v>0</v>
      </c>
      <c r="AK15" s="14">
        <f t="shared" si="14"/>
        <v>0</v>
      </c>
      <c r="AL15" s="15">
        <v>0</v>
      </c>
      <c r="AM15" s="7">
        <f t="shared" si="15"/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75.03</v>
      </c>
      <c r="AS15" s="7">
        <f t="shared" si="16"/>
        <v>169917.37159090908</v>
      </c>
      <c r="AT15" s="14">
        <f t="shared" si="3"/>
        <v>75.03</v>
      </c>
      <c r="AU15" s="14">
        <f t="shared" si="3"/>
        <v>169917.37159090908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70000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152328</v>
      </c>
      <c r="BQ15" s="15">
        <v>31000</v>
      </c>
      <c r="BR15" s="14">
        <f t="shared" si="4"/>
        <v>183328</v>
      </c>
      <c r="BS15" s="15">
        <v>50800</v>
      </c>
      <c r="BT15" s="15">
        <v>0</v>
      </c>
      <c r="BU15" s="15">
        <v>0</v>
      </c>
      <c r="BV15" s="14">
        <f t="shared" si="5"/>
        <v>50800</v>
      </c>
      <c r="BW15" s="15">
        <v>116882</v>
      </c>
      <c r="BX15" s="15">
        <v>14026</v>
      </c>
      <c r="BY15" s="15">
        <v>116882</v>
      </c>
      <c r="BZ15" s="15">
        <v>55088</v>
      </c>
      <c r="CA15" s="15">
        <v>0</v>
      </c>
      <c r="CB15" s="15">
        <v>302878</v>
      </c>
      <c r="CC15" s="15">
        <v>1939651</v>
      </c>
      <c r="CD15" s="15">
        <v>116380</v>
      </c>
      <c r="CE15" s="15">
        <v>0</v>
      </c>
      <c r="CF15" s="14">
        <f t="shared" si="6"/>
        <v>2056031.7693181818</v>
      </c>
      <c r="CG15" s="18"/>
      <c r="CH15" s="16"/>
      <c r="CI15" s="17"/>
      <c r="CJ15" s="17"/>
    </row>
    <row r="16" spans="1:88" x14ac:dyDescent="0.35">
      <c r="A16" s="13">
        <v>1019004956</v>
      </c>
      <c r="B16" s="17" t="s">
        <v>95</v>
      </c>
      <c r="C16" s="17" t="s">
        <v>83</v>
      </c>
      <c r="D16" s="17" t="s">
        <v>286</v>
      </c>
      <c r="E16" s="17">
        <v>6563</v>
      </c>
      <c r="F16" s="17" t="s">
        <v>84</v>
      </c>
      <c r="G16" s="17" t="s">
        <v>85</v>
      </c>
      <c r="H16" s="17">
        <v>1019004956</v>
      </c>
      <c r="I16" s="17" t="s">
        <v>123</v>
      </c>
      <c r="J16" s="17" t="s">
        <v>94</v>
      </c>
      <c r="K16" s="17">
        <v>0</v>
      </c>
      <c r="L16" s="17">
        <v>0</v>
      </c>
      <c r="M16" s="17" t="s">
        <v>96</v>
      </c>
      <c r="N16" s="19">
        <v>45608</v>
      </c>
      <c r="O16" s="19">
        <v>1</v>
      </c>
      <c r="P16" s="20">
        <v>1423500</v>
      </c>
      <c r="Q16" s="17">
        <v>28</v>
      </c>
      <c r="R16" s="14">
        <f t="shared" si="7"/>
        <v>1328600</v>
      </c>
      <c r="S16" s="15">
        <v>186667</v>
      </c>
      <c r="T16" s="15">
        <v>0.05</v>
      </c>
      <c r="U16" s="7">
        <f t="shared" si="8"/>
        <v>404.40340909090907</v>
      </c>
      <c r="V16" s="15">
        <v>4</v>
      </c>
      <c r="W16" s="7">
        <f t="shared" si="9"/>
        <v>45293.181818181816</v>
      </c>
      <c r="X16" s="15">
        <v>0</v>
      </c>
      <c r="Y16" s="7">
        <f t="shared" si="0"/>
        <v>0</v>
      </c>
      <c r="Z16" s="15">
        <v>0</v>
      </c>
      <c r="AA16" s="7">
        <f t="shared" si="10"/>
        <v>0</v>
      </c>
      <c r="AB16" s="15">
        <v>0</v>
      </c>
      <c r="AC16" s="14">
        <f t="shared" si="11"/>
        <v>0</v>
      </c>
      <c r="AD16" s="14">
        <f t="shared" si="1"/>
        <v>4.05</v>
      </c>
      <c r="AE16" s="14">
        <f t="shared" si="2"/>
        <v>45697.585227272728</v>
      </c>
      <c r="AF16" s="15">
        <v>7</v>
      </c>
      <c r="AG16" s="7">
        <f t="shared" si="12"/>
        <v>81527.727272727265</v>
      </c>
      <c r="AH16" s="15">
        <v>0</v>
      </c>
      <c r="AI16" s="7">
        <f t="shared" si="13"/>
        <v>0</v>
      </c>
      <c r="AJ16" s="15">
        <v>3</v>
      </c>
      <c r="AK16" s="14">
        <f t="shared" si="14"/>
        <v>40763.86363636364</v>
      </c>
      <c r="AL16" s="15">
        <v>0</v>
      </c>
      <c r="AM16" s="7">
        <f t="shared" si="15"/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72.5</v>
      </c>
      <c r="AS16" s="7">
        <f t="shared" si="16"/>
        <v>164187.78409090909</v>
      </c>
      <c r="AT16" s="14">
        <f t="shared" si="3"/>
        <v>82.5</v>
      </c>
      <c r="AU16" s="14">
        <f t="shared" si="3"/>
        <v>286479.375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220230</v>
      </c>
      <c r="BQ16" s="15">
        <v>40500</v>
      </c>
      <c r="BR16" s="14">
        <f t="shared" si="4"/>
        <v>260730</v>
      </c>
      <c r="BS16" s="15">
        <v>66500</v>
      </c>
      <c r="BT16" s="15">
        <v>0</v>
      </c>
      <c r="BU16" s="15">
        <v>0</v>
      </c>
      <c r="BV16" s="14">
        <f t="shared" si="5"/>
        <v>66500</v>
      </c>
      <c r="BW16" s="15">
        <v>154028</v>
      </c>
      <c r="BX16" s="15">
        <v>18484</v>
      </c>
      <c r="BY16" s="15">
        <v>154028</v>
      </c>
      <c r="BZ16" s="15">
        <v>72120</v>
      </c>
      <c r="CA16" s="15">
        <v>0</v>
      </c>
      <c r="CB16" s="15">
        <v>398660</v>
      </c>
      <c r="CC16" s="15">
        <v>2574304</v>
      </c>
      <c r="CD16" s="16">
        <v>155427.03977272753</v>
      </c>
      <c r="CE16" s="15">
        <v>0</v>
      </c>
      <c r="CF16" s="14">
        <f t="shared" si="6"/>
        <v>2728761</v>
      </c>
      <c r="CG16" s="18"/>
      <c r="CH16" s="16"/>
      <c r="CI16" s="22"/>
      <c r="CJ16" s="15"/>
    </row>
    <row r="17" spans="1:88" x14ac:dyDescent="0.35">
      <c r="A17" s="13">
        <v>1083839109</v>
      </c>
      <c r="B17" s="17" t="s">
        <v>95</v>
      </c>
      <c r="C17" s="17" t="s">
        <v>83</v>
      </c>
      <c r="D17" s="17" t="s">
        <v>286</v>
      </c>
      <c r="E17" s="17">
        <v>6571</v>
      </c>
      <c r="F17" s="17" t="s">
        <v>88</v>
      </c>
      <c r="G17" s="17" t="s">
        <v>89</v>
      </c>
      <c r="H17" s="17">
        <v>1083839109</v>
      </c>
      <c r="I17" s="17" t="s">
        <v>124</v>
      </c>
      <c r="J17" s="17" t="s">
        <v>94</v>
      </c>
      <c r="K17" s="17">
        <v>0</v>
      </c>
      <c r="L17" s="17">
        <v>0</v>
      </c>
      <c r="M17" s="17" t="s">
        <v>96</v>
      </c>
      <c r="N17" s="19">
        <v>45609</v>
      </c>
      <c r="O17" s="19">
        <v>45889</v>
      </c>
      <c r="P17" s="20">
        <v>1423500</v>
      </c>
      <c r="Q17" s="17">
        <v>18</v>
      </c>
      <c r="R17" s="14">
        <f t="shared" si="7"/>
        <v>854100</v>
      </c>
      <c r="S17" s="15">
        <v>120000</v>
      </c>
      <c r="T17" s="15">
        <v>1.82</v>
      </c>
      <c r="U17" s="7">
        <f t="shared" si="8"/>
        <v>14720.28409090909</v>
      </c>
      <c r="V17" s="15">
        <v>5</v>
      </c>
      <c r="W17" s="7">
        <f t="shared" si="9"/>
        <v>56616.477272727265</v>
      </c>
      <c r="X17" s="15">
        <v>0</v>
      </c>
      <c r="Y17" s="7">
        <f t="shared" si="0"/>
        <v>0</v>
      </c>
      <c r="Z17" s="15">
        <v>0</v>
      </c>
      <c r="AA17" s="7">
        <f t="shared" si="10"/>
        <v>0</v>
      </c>
      <c r="AB17" s="15">
        <v>0</v>
      </c>
      <c r="AC17" s="14">
        <f t="shared" si="11"/>
        <v>0</v>
      </c>
      <c r="AD17" s="14">
        <f t="shared" si="1"/>
        <v>6.82</v>
      </c>
      <c r="AE17" s="14">
        <f t="shared" si="2"/>
        <v>71336.761363636353</v>
      </c>
      <c r="AF17" s="15">
        <v>4</v>
      </c>
      <c r="AG17" s="7">
        <f t="shared" si="12"/>
        <v>46587.272727272728</v>
      </c>
      <c r="AH17" s="15">
        <v>0</v>
      </c>
      <c r="AI17" s="7">
        <f t="shared" si="13"/>
        <v>0</v>
      </c>
      <c r="AJ17" s="15">
        <v>4.67</v>
      </c>
      <c r="AK17" s="14">
        <f t="shared" si="14"/>
        <v>63455.747727272726</v>
      </c>
      <c r="AL17" s="15">
        <v>0</v>
      </c>
      <c r="AM17" s="7">
        <f t="shared" si="15"/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46</v>
      </c>
      <c r="AS17" s="7">
        <f t="shared" si="16"/>
        <v>104174.31818181816</v>
      </c>
      <c r="AT17" s="14">
        <f t="shared" si="3"/>
        <v>54.67</v>
      </c>
      <c r="AU17" s="14">
        <f t="shared" si="3"/>
        <v>214217.33863636362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70000</v>
      </c>
      <c r="BE17" s="15">
        <v>0</v>
      </c>
      <c r="BF17" s="15">
        <v>0</v>
      </c>
      <c r="BG17" s="15">
        <v>0</v>
      </c>
      <c r="BH17" s="15">
        <v>-37401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165353</v>
      </c>
      <c r="BQ17" s="15">
        <v>29600</v>
      </c>
      <c r="BR17" s="14">
        <f t="shared" si="4"/>
        <v>194953</v>
      </c>
      <c r="BS17" s="15">
        <v>48500</v>
      </c>
      <c r="BT17" s="15">
        <v>0</v>
      </c>
      <c r="BU17" s="15">
        <v>0</v>
      </c>
      <c r="BV17" s="14">
        <f t="shared" si="5"/>
        <v>48500</v>
      </c>
      <c r="BW17" s="15">
        <v>111763</v>
      </c>
      <c r="BX17" s="15">
        <v>13412</v>
      </c>
      <c r="BY17" s="15">
        <v>111763</v>
      </c>
      <c r="BZ17" s="15">
        <v>53818</v>
      </c>
      <c r="CA17" s="15">
        <v>0</v>
      </c>
      <c r="CB17" s="15">
        <v>290756</v>
      </c>
      <c r="CC17" s="15">
        <v>1827972</v>
      </c>
      <c r="CD17" s="16">
        <v>111189.89999999991</v>
      </c>
      <c r="CE17" s="15">
        <v>0</v>
      </c>
      <c r="CF17" s="14">
        <f t="shared" si="6"/>
        <v>1937652</v>
      </c>
      <c r="CG17" s="18"/>
      <c r="CH17" s="16"/>
      <c r="CI17" s="22"/>
      <c r="CJ17" s="15"/>
    </row>
    <row r="18" spans="1:88" x14ac:dyDescent="0.35">
      <c r="A18" s="13">
        <v>1151204501</v>
      </c>
      <c r="B18" s="17" t="s">
        <v>95</v>
      </c>
      <c r="C18" s="17" t="s">
        <v>83</v>
      </c>
      <c r="D18" s="17" t="s">
        <v>286</v>
      </c>
      <c r="E18" s="17">
        <v>6571</v>
      </c>
      <c r="F18" s="17" t="s">
        <v>88</v>
      </c>
      <c r="G18" s="17" t="s">
        <v>89</v>
      </c>
      <c r="H18" s="17">
        <v>1151204501</v>
      </c>
      <c r="I18" s="17" t="s">
        <v>125</v>
      </c>
      <c r="J18" s="17" t="s">
        <v>94</v>
      </c>
      <c r="K18" s="17">
        <v>0</v>
      </c>
      <c r="L18" s="17">
        <v>0</v>
      </c>
      <c r="M18" s="17" t="s">
        <v>96</v>
      </c>
      <c r="N18" s="19">
        <v>45609</v>
      </c>
      <c r="O18" s="19">
        <v>1</v>
      </c>
      <c r="P18" s="20">
        <v>782925</v>
      </c>
      <c r="Q18" s="17">
        <v>30</v>
      </c>
      <c r="R18" s="14">
        <f t="shared" si="7"/>
        <v>782925</v>
      </c>
      <c r="S18" s="15">
        <v>200000</v>
      </c>
      <c r="T18" s="15">
        <v>10.119999999999999</v>
      </c>
      <c r="U18" s="7">
        <f>+P18/110*T18*1.25</f>
        <v>90036.374999999985</v>
      </c>
      <c r="V18" s="15">
        <v>0</v>
      </c>
      <c r="W18" s="7">
        <f t="shared" si="9"/>
        <v>0</v>
      </c>
      <c r="X18" s="15">
        <v>0</v>
      </c>
      <c r="Y18" s="7">
        <f t="shared" si="0"/>
        <v>0</v>
      </c>
      <c r="Z18" s="15">
        <v>0</v>
      </c>
      <c r="AA18" s="7">
        <f t="shared" si="10"/>
        <v>0</v>
      </c>
      <c r="AB18" s="15">
        <v>0</v>
      </c>
      <c r="AC18" s="14">
        <f t="shared" si="11"/>
        <v>0</v>
      </c>
      <c r="AD18" s="14">
        <f t="shared" si="1"/>
        <v>10.119999999999999</v>
      </c>
      <c r="AE18" s="14">
        <f t="shared" si="2"/>
        <v>90036.374999999985</v>
      </c>
      <c r="AF18" s="15">
        <v>0</v>
      </c>
      <c r="AG18" s="7">
        <f t="shared" si="12"/>
        <v>0</v>
      </c>
      <c r="AH18" s="15">
        <v>0</v>
      </c>
      <c r="AI18" s="7">
        <f t="shared" si="13"/>
        <v>0</v>
      </c>
      <c r="AJ18" s="15">
        <v>0</v>
      </c>
      <c r="AK18" s="14">
        <f t="shared" si="14"/>
        <v>0</v>
      </c>
      <c r="AL18" s="15">
        <v>0</v>
      </c>
      <c r="AM18" s="7">
        <f t="shared" si="15"/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6.1</v>
      </c>
      <c r="AS18" s="7">
        <f>+P18/110*AR18*0.35</f>
        <v>15195.862499999999</v>
      </c>
      <c r="AT18" s="14">
        <f t="shared" si="3"/>
        <v>6.1</v>
      </c>
      <c r="AU18" s="14">
        <f t="shared" si="3"/>
        <v>15195.862499999999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100000</v>
      </c>
      <c r="BD18" s="15">
        <v>110000</v>
      </c>
      <c r="BE18" s="15">
        <v>0</v>
      </c>
      <c r="BF18" s="15">
        <v>0</v>
      </c>
      <c r="BG18" s="15">
        <v>0</v>
      </c>
      <c r="BH18" s="15">
        <v>-36157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170860</v>
      </c>
      <c r="BQ18" s="15">
        <v>34700</v>
      </c>
      <c r="BR18" s="14">
        <f t="shared" si="4"/>
        <v>205560</v>
      </c>
      <c r="BS18" s="15">
        <v>40000</v>
      </c>
      <c r="BT18" s="15">
        <v>0</v>
      </c>
      <c r="BU18" s="15">
        <v>0</v>
      </c>
      <c r="BV18" s="14">
        <f t="shared" si="5"/>
        <v>40000</v>
      </c>
      <c r="BW18" s="15">
        <v>104738</v>
      </c>
      <c r="BX18" s="15">
        <v>12569</v>
      </c>
      <c r="BY18" s="15">
        <v>104738</v>
      </c>
      <c r="BZ18" s="15">
        <v>46881</v>
      </c>
      <c r="CA18" s="15">
        <v>0</v>
      </c>
      <c r="CB18" s="15">
        <v>268926</v>
      </c>
      <c r="CC18" s="15">
        <v>1776487</v>
      </c>
      <c r="CD18" s="15">
        <v>106590</v>
      </c>
      <c r="CE18" s="15">
        <v>0</v>
      </c>
      <c r="CF18" s="14">
        <f t="shared" si="6"/>
        <v>1883076.2375</v>
      </c>
      <c r="CG18" s="18"/>
      <c r="CH18" s="16"/>
      <c r="CI18" s="17"/>
      <c r="CJ18" s="17"/>
    </row>
    <row r="19" spans="1:88" x14ac:dyDescent="0.35">
      <c r="A19" s="13">
        <v>1015402619</v>
      </c>
      <c r="B19" s="17" t="s">
        <v>95</v>
      </c>
      <c r="C19" s="17" t="s">
        <v>83</v>
      </c>
      <c r="D19" s="17" t="s">
        <v>286</v>
      </c>
      <c r="E19" s="17">
        <v>6571</v>
      </c>
      <c r="F19" s="17" t="s">
        <v>88</v>
      </c>
      <c r="G19" s="17" t="s">
        <v>89</v>
      </c>
      <c r="H19" s="17">
        <v>1015402619</v>
      </c>
      <c r="I19" s="17" t="s">
        <v>105</v>
      </c>
      <c r="J19" s="17" t="s">
        <v>94</v>
      </c>
      <c r="K19" s="17">
        <v>0</v>
      </c>
      <c r="L19" s="17">
        <v>0</v>
      </c>
      <c r="M19" s="17" t="s">
        <v>96</v>
      </c>
      <c r="N19" s="19">
        <v>45611</v>
      </c>
      <c r="O19" s="19">
        <v>1</v>
      </c>
      <c r="P19" s="20">
        <v>1423500</v>
      </c>
      <c r="Q19" s="17">
        <v>30</v>
      </c>
      <c r="R19" s="14">
        <f t="shared" si="7"/>
        <v>1423500</v>
      </c>
      <c r="S19" s="15">
        <v>200000</v>
      </c>
      <c r="T19" s="15">
        <v>0</v>
      </c>
      <c r="U19" s="7">
        <f t="shared" si="8"/>
        <v>0</v>
      </c>
      <c r="V19" s="15">
        <v>7</v>
      </c>
      <c r="W19" s="7">
        <f t="shared" si="9"/>
        <v>79263.068181818177</v>
      </c>
      <c r="X19" s="15">
        <v>0</v>
      </c>
      <c r="Y19" s="7">
        <f t="shared" si="0"/>
        <v>0</v>
      </c>
      <c r="Z19" s="15">
        <v>0</v>
      </c>
      <c r="AA19" s="7">
        <f t="shared" si="10"/>
        <v>0</v>
      </c>
      <c r="AB19" s="15">
        <v>0</v>
      </c>
      <c r="AC19" s="14">
        <f t="shared" si="11"/>
        <v>0</v>
      </c>
      <c r="AD19" s="14">
        <f t="shared" si="1"/>
        <v>7</v>
      </c>
      <c r="AE19" s="14">
        <f t="shared" si="2"/>
        <v>79263.068181818177</v>
      </c>
      <c r="AF19" s="15">
        <v>0</v>
      </c>
      <c r="AG19" s="7">
        <f t="shared" si="12"/>
        <v>0</v>
      </c>
      <c r="AH19" s="15">
        <v>0</v>
      </c>
      <c r="AI19" s="7">
        <f t="shared" si="13"/>
        <v>0</v>
      </c>
      <c r="AJ19" s="15">
        <v>0</v>
      </c>
      <c r="AK19" s="14">
        <f t="shared" si="14"/>
        <v>0</v>
      </c>
      <c r="AL19" s="15">
        <v>0</v>
      </c>
      <c r="AM19" s="7">
        <f t="shared" si="15"/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58.77</v>
      </c>
      <c r="AS19" s="7">
        <f t="shared" si="16"/>
        <v>133094.01477272727</v>
      </c>
      <c r="AT19" s="14">
        <f t="shared" si="3"/>
        <v>58.77</v>
      </c>
      <c r="AU19" s="14">
        <f t="shared" si="3"/>
        <v>133094.01477272727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110000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209566</v>
      </c>
      <c r="BQ19" s="15">
        <v>42600</v>
      </c>
      <c r="BR19" s="14">
        <f t="shared" si="4"/>
        <v>252166</v>
      </c>
      <c r="BS19" s="15">
        <v>69900</v>
      </c>
      <c r="BT19" s="15">
        <v>0</v>
      </c>
      <c r="BU19" s="15">
        <v>0</v>
      </c>
      <c r="BV19" s="14">
        <f t="shared" si="5"/>
        <v>69900</v>
      </c>
      <c r="BW19" s="15">
        <v>162148</v>
      </c>
      <c r="BX19" s="15">
        <v>19459</v>
      </c>
      <c r="BY19" s="15">
        <v>162148</v>
      </c>
      <c r="BZ19" s="15">
        <v>75770</v>
      </c>
      <c r="CA19" s="15">
        <v>0</v>
      </c>
      <c r="CB19" s="15">
        <v>419525</v>
      </c>
      <c r="CC19" s="15">
        <v>2687448</v>
      </c>
      <c r="CD19" s="15">
        <v>161247</v>
      </c>
      <c r="CE19" s="15">
        <v>0</v>
      </c>
      <c r="CF19" s="14">
        <f t="shared" si="6"/>
        <v>2848695.0829545455</v>
      </c>
      <c r="CG19" s="18"/>
      <c r="CH19" s="16"/>
      <c r="CI19" s="15"/>
      <c r="CJ19" s="15"/>
    </row>
    <row r="20" spans="1:88" x14ac:dyDescent="0.35">
      <c r="A20" s="13">
        <v>1007648524</v>
      </c>
      <c r="B20" s="17" t="s">
        <v>95</v>
      </c>
      <c r="C20" s="17" t="s">
        <v>83</v>
      </c>
      <c r="D20" s="17" t="s">
        <v>286</v>
      </c>
      <c r="E20" s="17">
        <v>6571</v>
      </c>
      <c r="F20" s="17" t="s">
        <v>88</v>
      </c>
      <c r="G20" s="17" t="s">
        <v>89</v>
      </c>
      <c r="H20" s="17">
        <v>1007648524</v>
      </c>
      <c r="I20" s="17" t="s">
        <v>126</v>
      </c>
      <c r="J20" s="17" t="s">
        <v>94</v>
      </c>
      <c r="K20" s="17">
        <v>0</v>
      </c>
      <c r="L20" s="17">
        <v>0</v>
      </c>
      <c r="M20" s="17" t="s">
        <v>96</v>
      </c>
      <c r="N20" s="19">
        <v>45615</v>
      </c>
      <c r="O20" s="19">
        <v>1</v>
      </c>
      <c r="P20" s="20">
        <v>1423500</v>
      </c>
      <c r="Q20" s="17">
        <v>30</v>
      </c>
      <c r="R20" s="14">
        <f t="shared" si="7"/>
        <v>1423500</v>
      </c>
      <c r="S20" s="15">
        <v>200000</v>
      </c>
      <c r="T20" s="15">
        <v>0</v>
      </c>
      <c r="U20" s="7">
        <f t="shared" si="8"/>
        <v>0</v>
      </c>
      <c r="V20" s="15">
        <v>1.32</v>
      </c>
      <c r="W20" s="7">
        <f t="shared" si="9"/>
        <v>14946.75</v>
      </c>
      <c r="X20" s="15">
        <v>0</v>
      </c>
      <c r="Y20" s="7">
        <f t="shared" si="0"/>
        <v>0</v>
      </c>
      <c r="Z20" s="15">
        <v>2.75</v>
      </c>
      <c r="AA20" s="7">
        <f t="shared" si="10"/>
        <v>44484.375</v>
      </c>
      <c r="AB20" s="15">
        <v>2</v>
      </c>
      <c r="AC20" s="14">
        <f t="shared" si="11"/>
        <v>25881.81818181818</v>
      </c>
      <c r="AD20" s="14">
        <f t="shared" si="1"/>
        <v>6.07</v>
      </c>
      <c r="AE20" s="14">
        <f t="shared" si="2"/>
        <v>85312.943181818177</v>
      </c>
      <c r="AF20" s="15">
        <v>2</v>
      </c>
      <c r="AG20" s="7">
        <f t="shared" si="12"/>
        <v>23293.636363636364</v>
      </c>
      <c r="AH20" s="15">
        <v>0</v>
      </c>
      <c r="AI20" s="7">
        <f t="shared" si="13"/>
        <v>0</v>
      </c>
      <c r="AJ20" s="15">
        <v>3</v>
      </c>
      <c r="AK20" s="14">
        <f t="shared" si="14"/>
        <v>40763.86363636364</v>
      </c>
      <c r="AL20" s="15">
        <v>0</v>
      </c>
      <c r="AM20" s="7">
        <f t="shared" si="15"/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68.97</v>
      </c>
      <c r="AS20" s="7">
        <f t="shared" si="16"/>
        <v>156193.53749999998</v>
      </c>
      <c r="AT20" s="14">
        <f t="shared" si="3"/>
        <v>73.97</v>
      </c>
      <c r="AU20" s="14">
        <f t="shared" si="3"/>
        <v>220251.03749999998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110000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221037</v>
      </c>
      <c r="BQ20" s="15">
        <v>44900</v>
      </c>
      <c r="BR20" s="14">
        <f t="shared" si="4"/>
        <v>265937</v>
      </c>
      <c r="BS20" s="15">
        <v>73700</v>
      </c>
      <c r="BT20" s="15">
        <v>0</v>
      </c>
      <c r="BU20" s="15">
        <v>0</v>
      </c>
      <c r="BV20" s="14">
        <f t="shared" si="5"/>
        <v>73700</v>
      </c>
      <c r="BW20" s="15">
        <v>170124</v>
      </c>
      <c r="BX20" s="15">
        <v>20416</v>
      </c>
      <c r="BY20" s="15">
        <v>170124</v>
      </c>
      <c r="BZ20" s="15">
        <v>79925</v>
      </c>
      <c r="CA20" s="15">
        <v>0</v>
      </c>
      <c r="CB20" s="15">
        <v>440589</v>
      </c>
      <c r="CC20" s="15">
        <v>2821798</v>
      </c>
      <c r="CD20" s="16">
        <v>171818.01931818202</v>
      </c>
      <c r="CE20" s="15">
        <v>0</v>
      </c>
      <c r="CF20" s="14">
        <f t="shared" si="6"/>
        <v>2991108</v>
      </c>
      <c r="CG20" s="18"/>
      <c r="CH20" s="16"/>
      <c r="CI20" s="22"/>
      <c r="CJ20" s="17"/>
    </row>
    <row r="21" spans="1:88" x14ac:dyDescent="0.35">
      <c r="A21" s="13">
        <v>1024475149</v>
      </c>
      <c r="B21" s="17" t="s">
        <v>95</v>
      </c>
      <c r="C21" s="17" t="s">
        <v>83</v>
      </c>
      <c r="D21" s="17" t="s">
        <v>286</v>
      </c>
      <c r="E21" s="17">
        <v>6563</v>
      </c>
      <c r="F21" s="17" t="s">
        <v>84</v>
      </c>
      <c r="G21" s="17" t="s">
        <v>85</v>
      </c>
      <c r="H21" s="17">
        <v>1024475149</v>
      </c>
      <c r="I21" s="17" t="s">
        <v>106</v>
      </c>
      <c r="J21" s="17" t="s">
        <v>107</v>
      </c>
      <c r="K21" s="17">
        <v>0</v>
      </c>
      <c r="L21" s="17">
        <v>0</v>
      </c>
      <c r="M21" s="17" t="s">
        <v>96</v>
      </c>
      <c r="N21" s="19">
        <v>45616</v>
      </c>
      <c r="O21" s="19">
        <v>45833</v>
      </c>
      <c r="P21" s="20">
        <v>1698000</v>
      </c>
      <c r="Q21" s="17">
        <v>0</v>
      </c>
      <c r="R21" s="14">
        <f t="shared" si="7"/>
        <v>0</v>
      </c>
      <c r="S21" s="15">
        <v>0</v>
      </c>
      <c r="T21" s="15">
        <v>2</v>
      </c>
      <c r="U21" s="7">
        <f>+P21/230*T21*1.25</f>
        <v>18456.521739130436</v>
      </c>
      <c r="V21" s="15">
        <v>1</v>
      </c>
      <c r="W21" s="7">
        <f>+P21/230*V21*1.75</f>
        <v>12919.565217391304</v>
      </c>
      <c r="X21" s="15">
        <v>0</v>
      </c>
      <c r="Y21" s="7">
        <f t="shared" si="0"/>
        <v>0</v>
      </c>
      <c r="Z21" s="15">
        <v>0</v>
      </c>
      <c r="AA21" s="7">
        <f t="shared" si="10"/>
        <v>0</v>
      </c>
      <c r="AB21" s="15">
        <v>0</v>
      </c>
      <c r="AC21" s="14">
        <f t="shared" si="11"/>
        <v>0</v>
      </c>
      <c r="AD21" s="14">
        <f t="shared" si="1"/>
        <v>3</v>
      </c>
      <c r="AE21" s="14">
        <f t="shared" si="2"/>
        <v>31376.08695652174</v>
      </c>
      <c r="AF21" s="15">
        <v>23</v>
      </c>
      <c r="AG21" s="7">
        <f>+P21/230*AF21*1.8</f>
        <v>305640</v>
      </c>
      <c r="AH21" s="15">
        <v>0</v>
      </c>
      <c r="AI21" s="7">
        <f t="shared" si="13"/>
        <v>0</v>
      </c>
      <c r="AJ21" s="15">
        <v>3</v>
      </c>
      <c r="AK21" s="14">
        <f>+P21/230*AJ21*2.1</f>
        <v>46510.434782608696</v>
      </c>
      <c r="AL21" s="15">
        <v>0</v>
      </c>
      <c r="AM21" s="7">
        <f t="shared" si="15"/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48.9</v>
      </c>
      <c r="AS21" s="7">
        <f>+P21/230*AR21*0.35</f>
        <v>126353.34782608695</v>
      </c>
      <c r="AT21" s="14">
        <f t="shared" si="3"/>
        <v>74.900000000000006</v>
      </c>
      <c r="AU21" s="14">
        <f t="shared" si="3"/>
        <v>478503.78260869568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20624</v>
      </c>
      <c r="BQ21" s="15">
        <v>4200</v>
      </c>
      <c r="BR21" s="14">
        <f t="shared" si="4"/>
        <v>24824</v>
      </c>
      <c r="BS21" s="15">
        <v>20100</v>
      </c>
      <c r="BT21" s="15">
        <v>0</v>
      </c>
      <c r="BU21" s="15">
        <v>0</v>
      </c>
      <c r="BV21" s="14">
        <f t="shared" si="5"/>
        <v>20100</v>
      </c>
      <c r="BW21" s="15">
        <v>41781</v>
      </c>
      <c r="BX21" s="15">
        <v>5014</v>
      </c>
      <c r="BY21" s="15">
        <v>41781</v>
      </c>
      <c r="BZ21" s="15">
        <v>21760</v>
      </c>
      <c r="CA21" s="15">
        <v>0</v>
      </c>
      <c r="CB21" s="15">
        <v>110336</v>
      </c>
      <c r="CC21" s="15">
        <v>656650</v>
      </c>
      <c r="CD21" s="15">
        <v>30909</v>
      </c>
      <c r="CE21" s="15">
        <v>0</v>
      </c>
      <c r="CF21" s="14">
        <f t="shared" si="6"/>
        <v>696048.86956521741</v>
      </c>
      <c r="CG21" s="18"/>
      <c r="CH21" s="16"/>
      <c r="CI21" s="17"/>
      <c r="CJ21" s="17"/>
    </row>
    <row r="22" spans="1:88" x14ac:dyDescent="0.35">
      <c r="A22" s="13">
        <v>1129500534</v>
      </c>
      <c r="B22" s="17" t="s">
        <v>97</v>
      </c>
      <c r="C22" s="17" t="s">
        <v>83</v>
      </c>
      <c r="D22" s="17" t="s">
        <v>286</v>
      </c>
      <c r="E22" s="17">
        <v>5421</v>
      </c>
      <c r="F22" s="17" t="s">
        <v>86</v>
      </c>
      <c r="G22" s="17" t="s">
        <v>87</v>
      </c>
      <c r="H22" s="17">
        <v>1129500534</v>
      </c>
      <c r="I22" s="17" t="s">
        <v>108</v>
      </c>
      <c r="J22" s="17" t="s">
        <v>94</v>
      </c>
      <c r="K22" s="17">
        <v>0</v>
      </c>
      <c r="L22" s="17">
        <v>0</v>
      </c>
      <c r="M22" s="17" t="s">
        <v>96</v>
      </c>
      <c r="N22" s="19">
        <v>45609</v>
      </c>
      <c r="O22" s="19">
        <v>1</v>
      </c>
      <c r="P22" s="20">
        <v>1423500</v>
      </c>
      <c r="Q22" s="17">
        <v>30</v>
      </c>
      <c r="R22" s="14">
        <f t="shared" si="7"/>
        <v>1423500</v>
      </c>
      <c r="S22" s="15">
        <v>186666.66666666669</v>
      </c>
      <c r="T22" s="15">
        <v>0</v>
      </c>
      <c r="U22" s="7">
        <f t="shared" si="8"/>
        <v>0</v>
      </c>
      <c r="V22" s="15">
        <v>4.97</v>
      </c>
      <c r="W22" s="7">
        <f t="shared" si="9"/>
        <v>56276.778409090904</v>
      </c>
      <c r="X22" s="15">
        <v>0</v>
      </c>
      <c r="Y22" s="7">
        <f t="shared" si="0"/>
        <v>0</v>
      </c>
      <c r="Z22" s="15">
        <v>0</v>
      </c>
      <c r="AA22" s="7">
        <f t="shared" si="10"/>
        <v>0</v>
      </c>
      <c r="AB22" s="15">
        <v>0</v>
      </c>
      <c r="AC22" s="14">
        <f t="shared" si="11"/>
        <v>0</v>
      </c>
      <c r="AD22" s="14">
        <f t="shared" si="1"/>
        <v>4.97</v>
      </c>
      <c r="AE22" s="14">
        <f t="shared" si="2"/>
        <v>56276.778409090904</v>
      </c>
      <c r="AF22" s="15">
        <v>0</v>
      </c>
      <c r="AG22" s="7">
        <f t="shared" si="12"/>
        <v>0</v>
      </c>
      <c r="AH22" s="15">
        <v>0</v>
      </c>
      <c r="AI22" s="7">
        <f t="shared" si="13"/>
        <v>0</v>
      </c>
      <c r="AJ22" s="15">
        <v>0</v>
      </c>
      <c r="AK22" s="14">
        <f t="shared" si="14"/>
        <v>0</v>
      </c>
      <c r="AL22" s="15">
        <v>0</v>
      </c>
      <c r="AM22" s="7">
        <f t="shared" si="15"/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61.109999999999992</v>
      </c>
      <c r="AS22" s="7">
        <f t="shared" si="16"/>
        <v>138393.31704545449</v>
      </c>
      <c r="AT22" s="14">
        <f t="shared" si="3"/>
        <v>61.109999999999992</v>
      </c>
      <c r="AU22" s="14">
        <f t="shared" si="3"/>
        <v>138393.31704545449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260092</v>
      </c>
      <c r="BD22" s="15">
        <v>0</v>
      </c>
      <c r="BE22" s="15">
        <v>263329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195738.85145454545</v>
      </c>
      <c r="BQ22" s="15">
        <v>15902.939796545454</v>
      </c>
      <c r="BR22" s="14">
        <f t="shared" si="4"/>
        <v>211641.79125109091</v>
      </c>
      <c r="BS22" s="15">
        <v>65246.283818181822</v>
      </c>
      <c r="BT22" s="15">
        <v>0</v>
      </c>
      <c r="BU22" s="15">
        <v>0</v>
      </c>
      <c r="BV22" s="14">
        <f t="shared" si="5"/>
        <v>65246.283818181822</v>
      </c>
      <c r="BW22" s="15">
        <v>151479.2540975606</v>
      </c>
      <c r="BX22" s="15">
        <v>18178.23762121212</v>
      </c>
      <c r="BY22" s="15">
        <v>151479.2540975606</v>
      </c>
      <c r="BZ22" s="15">
        <v>70792.217942727279</v>
      </c>
      <c r="CA22" s="15">
        <v>0</v>
      </c>
      <c r="CB22" s="15">
        <v>391928.9637590606</v>
      </c>
      <c r="CC22" s="15">
        <v>3010061.8009495456</v>
      </c>
      <c r="CD22" s="16">
        <v>171015.19905045442</v>
      </c>
      <c r="CE22" s="15">
        <v>0</v>
      </c>
      <c r="CF22" s="14">
        <f t="shared" si="6"/>
        <v>3168090</v>
      </c>
      <c r="CG22" s="18"/>
      <c r="CH22" s="16"/>
      <c r="CI22" s="22"/>
      <c r="CJ22" s="17"/>
    </row>
    <row r="23" spans="1:88" x14ac:dyDescent="0.35">
      <c r="A23" s="13">
        <v>1005333113</v>
      </c>
      <c r="B23" s="17" t="s">
        <v>97</v>
      </c>
      <c r="C23" s="17" t="s">
        <v>83</v>
      </c>
      <c r="D23" s="17" t="s">
        <v>286</v>
      </c>
      <c r="E23" s="17">
        <v>5641</v>
      </c>
      <c r="F23" s="17" t="s">
        <v>98</v>
      </c>
      <c r="G23" s="17" t="s">
        <v>99</v>
      </c>
      <c r="H23" s="17">
        <v>1005333113</v>
      </c>
      <c r="I23" s="17" t="s">
        <v>109</v>
      </c>
      <c r="J23" s="17" t="s">
        <v>94</v>
      </c>
      <c r="K23" s="17">
        <v>0</v>
      </c>
      <c r="L23" s="17">
        <v>0</v>
      </c>
      <c r="M23" s="17" t="s">
        <v>96</v>
      </c>
      <c r="N23" s="19">
        <v>45609</v>
      </c>
      <c r="O23" s="19">
        <v>45861</v>
      </c>
      <c r="P23" s="20">
        <v>1171935</v>
      </c>
      <c r="Q23" s="17">
        <v>-5</v>
      </c>
      <c r="R23" s="14">
        <f t="shared" si="7"/>
        <v>-195322.5</v>
      </c>
      <c r="S23" s="15">
        <v>-46666.666666666672</v>
      </c>
      <c r="T23" s="15">
        <v>0</v>
      </c>
      <c r="U23" s="7">
        <f t="shared" si="8"/>
        <v>0</v>
      </c>
      <c r="V23" s="15">
        <v>0</v>
      </c>
      <c r="W23" s="7">
        <f t="shared" si="9"/>
        <v>0</v>
      </c>
      <c r="X23" s="15">
        <v>0</v>
      </c>
      <c r="Y23" s="7">
        <f t="shared" si="0"/>
        <v>0</v>
      </c>
      <c r="Z23" s="15">
        <v>0</v>
      </c>
      <c r="AA23" s="7">
        <f t="shared" si="10"/>
        <v>0</v>
      </c>
      <c r="AB23" s="15">
        <v>0</v>
      </c>
      <c r="AC23" s="14">
        <f t="shared" si="11"/>
        <v>0</v>
      </c>
      <c r="AD23" s="14">
        <f t="shared" si="1"/>
        <v>0</v>
      </c>
      <c r="AE23" s="14">
        <f t="shared" si="2"/>
        <v>0</v>
      </c>
      <c r="AF23" s="15">
        <v>0</v>
      </c>
      <c r="AG23" s="7">
        <f t="shared" si="12"/>
        <v>0</v>
      </c>
      <c r="AH23" s="15">
        <v>0</v>
      </c>
      <c r="AI23" s="7">
        <f t="shared" si="13"/>
        <v>0</v>
      </c>
      <c r="AJ23" s="15">
        <v>0</v>
      </c>
      <c r="AK23" s="14">
        <f t="shared" si="14"/>
        <v>0</v>
      </c>
      <c r="AL23" s="15">
        <v>0</v>
      </c>
      <c r="AM23" s="7">
        <f t="shared" si="15"/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9.8800000000000008</v>
      </c>
      <c r="AS23" s="7">
        <f t="shared" si="16"/>
        <v>18420.687409090911</v>
      </c>
      <c r="AT23" s="14">
        <f t="shared" si="3"/>
        <v>9.8800000000000008</v>
      </c>
      <c r="AU23" s="14">
        <f t="shared" si="3"/>
        <v>18420.687409090911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143050</v>
      </c>
      <c r="BD23" s="15">
        <v>0</v>
      </c>
      <c r="BE23" s="15">
        <v>144830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93951</v>
      </c>
      <c r="BQ23" s="15">
        <v>8173.7370000000001</v>
      </c>
      <c r="BR23" s="14">
        <f t="shared" si="4"/>
        <v>102124.73699999999</v>
      </c>
      <c r="BS23" s="15">
        <v>31317</v>
      </c>
      <c r="BT23" s="15">
        <v>0</v>
      </c>
      <c r="BU23" s="15">
        <v>0</v>
      </c>
      <c r="BV23" s="14">
        <f t="shared" si="5"/>
        <v>31317</v>
      </c>
      <c r="BW23" s="15">
        <v>65241.140250000004</v>
      </c>
      <c r="BX23" s="15">
        <v>7829.25</v>
      </c>
      <c r="BY23" s="15">
        <v>65241.140250000004</v>
      </c>
      <c r="BZ23" s="15">
        <v>33978.945</v>
      </c>
      <c r="CA23" s="15">
        <v>0</v>
      </c>
      <c r="CB23" s="15">
        <v>172290.4755</v>
      </c>
      <c r="CC23" s="15">
        <v>388875.36083333334</v>
      </c>
      <c r="CD23" s="15">
        <v>35514</v>
      </c>
      <c r="CE23" s="15">
        <v>0</v>
      </c>
      <c r="CF23" s="14">
        <f t="shared" si="6"/>
        <v>405557.73324242432</v>
      </c>
      <c r="CG23" s="18"/>
      <c r="CH23" s="16"/>
      <c r="CI23" s="17"/>
      <c r="CJ23" s="17"/>
    </row>
    <row r="24" spans="1:88" s="13" customFormat="1" x14ac:dyDescent="0.35">
      <c r="A24" s="13">
        <v>1026159857</v>
      </c>
      <c r="B24" s="17" t="s">
        <v>97</v>
      </c>
      <c r="C24" s="17" t="s">
        <v>83</v>
      </c>
      <c r="D24" s="17" t="s">
        <v>286</v>
      </c>
      <c r="E24" s="17">
        <v>5421</v>
      </c>
      <c r="F24" s="17" t="s">
        <v>86</v>
      </c>
      <c r="G24" s="17" t="s">
        <v>87</v>
      </c>
      <c r="H24" s="17">
        <v>1026159857</v>
      </c>
      <c r="I24" s="17" t="s">
        <v>112</v>
      </c>
      <c r="J24" s="17" t="s">
        <v>94</v>
      </c>
      <c r="K24" s="17">
        <v>0</v>
      </c>
      <c r="L24" s="17">
        <v>0</v>
      </c>
      <c r="M24" s="17" t="s">
        <v>96</v>
      </c>
      <c r="N24" s="19">
        <v>45638</v>
      </c>
      <c r="O24" s="19">
        <v>1</v>
      </c>
      <c r="P24" s="20">
        <v>1423500</v>
      </c>
      <c r="Q24" s="17">
        <v>30</v>
      </c>
      <c r="R24" s="14">
        <f t="shared" si="7"/>
        <v>1423500</v>
      </c>
      <c r="S24" s="15">
        <v>166666.66666666669</v>
      </c>
      <c r="T24" s="15">
        <v>2.5</v>
      </c>
      <c r="U24" s="7">
        <f t="shared" si="8"/>
        <v>20220.170454545452</v>
      </c>
      <c r="V24" s="15">
        <v>0</v>
      </c>
      <c r="W24" s="7">
        <f t="shared" si="9"/>
        <v>0</v>
      </c>
      <c r="X24" s="15">
        <v>0</v>
      </c>
      <c r="Y24" s="7">
        <f t="shared" si="0"/>
        <v>0</v>
      </c>
      <c r="Z24" s="15">
        <v>0</v>
      </c>
      <c r="AA24" s="7">
        <f t="shared" si="10"/>
        <v>0</v>
      </c>
      <c r="AB24" s="15">
        <v>0</v>
      </c>
      <c r="AC24" s="14">
        <f t="shared" si="11"/>
        <v>0</v>
      </c>
      <c r="AD24" s="14">
        <f t="shared" si="1"/>
        <v>2.5</v>
      </c>
      <c r="AE24" s="14">
        <f t="shared" si="2"/>
        <v>20220.170454545452</v>
      </c>
      <c r="AF24" s="15">
        <v>0</v>
      </c>
      <c r="AG24" s="7">
        <f t="shared" si="12"/>
        <v>0</v>
      </c>
      <c r="AH24" s="15">
        <v>0</v>
      </c>
      <c r="AI24" s="7">
        <f t="shared" si="13"/>
        <v>0</v>
      </c>
      <c r="AJ24" s="15">
        <v>0</v>
      </c>
      <c r="AK24" s="14">
        <f t="shared" si="14"/>
        <v>0</v>
      </c>
      <c r="AL24" s="15">
        <v>0</v>
      </c>
      <c r="AM24" s="7">
        <f t="shared" si="15"/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7">
        <f t="shared" si="16"/>
        <v>0</v>
      </c>
      <c r="AT24" s="14">
        <f t="shared" si="3"/>
        <v>0</v>
      </c>
      <c r="AU24" s="14">
        <f t="shared" si="3"/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234083</v>
      </c>
      <c r="BD24" s="15">
        <v>0</v>
      </c>
      <c r="BE24" s="15">
        <v>236996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173433.02045454545</v>
      </c>
      <c r="BQ24" s="15">
        <v>12595.548579545453</v>
      </c>
      <c r="BR24" s="14">
        <f t="shared" si="4"/>
        <v>186028.56903409091</v>
      </c>
      <c r="BS24" s="15">
        <v>57811.006818181821</v>
      </c>
      <c r="BT24" s="15">
        <v>0</v>
      </c>
      <c r="BU24" s="15">
        <v>0</v>
      </c>
      <c r="BV24" s="14">
        <f t="shared" si="5"/>
        <v>57811.006818181821</v>
      </c>
      <c r="BW24" s="15">
        <v>134323.11328731058</v>
      </c>
      <c r="BX24" s="15">
        <v>16119.418371212121</v>
      </c>
      <c r="BY24" s="15">
        <v>134323.11328731058</v>
      </c>
      <c r="BZ24" s="15">
        <v>62724.942397727275</v>
      </c>
      <c r="CA24" s="15">
        <v>0</v>
      </c>
      <c r="CB24" s="15">
        <v>347490.58734356059</v>
      </c>
      <c r="CC24" s="15">
        <v>2674351.0003170455</v>
      </c>
      <c r="CD24" s="16">
        <v>141957.99968295451</v>
      </c>
      <c r="CE24" s="15">
        <v>0</v>
      </c>
      <c r="CF24" s="14">
        <f t="shared" si="6"/>
        <v>2814754</v>
      </c>
      <c r="CG24" s="18"/>
      <c r="CH24" s="16"/>
      <c r="CI24" s="22"/>
      <c r="CJ24" s="17"/>
    </row>
    <row r="25" spans="1:88" s="13" customFormat="1" x14ac:dyDescent="0.35">
      <c r="A25" s="13">
        <v>1006167682</v>
      </c>
      <c r="B25" s="17" t="s">
        <v>95</v>
      </c>
      <c r="C25" s="17" t="s">
        <v>83</v>
      </c>
      <c r="D25" s="17" t="s">
        <v>286</v>
      </c>
      <c r="E25" s="17">
        <v>1980</v>
      </c>
      <c r="F25" s="17" t="s">
        <v>92</v>
      </c>
      <c r="G25" s="17" t="s">
        <v>93</v>
      </c>
      <c r="H25" s="17">
        <v>1006167682</v>
      </c>
      <c r="I25" s="17" t="s">
        <v>127</v>
      </c>
      <c r="J25" s="17" t="s">
        <v>94</v>
      </c>
      <c r="K25" s="17">
        <v>0</v>
      </c>
      <c r="L25" s="17">
        <v>0</v>
      </c>
      <c r="M25" s="17" t="s">
        <v>96</v>
      </c>
      <c r="N25" s="19">
        <v>45630</v>
      </c>
      <c r="O25" s="19">
        <v>1</v>
      </c>
      <c r="P25" s="20">
        <v>1423500</v>
      </c>
      <c r="Q25" s="17">
        <v>30</v>
      </c>
      <c r="R25" s="14">
        <f t="shared" si="7"/>
        <v>1423500</v>
      </c>
      <c r="S25" s="15">
        <v>200000</v>
      </c>
      <c r="T25" s="15">
        <v>0</v>
      </c>
      <c r="U25" s="7">
        <f t="shared" si="8"/>
        <v>0</v>
      </c>
      <c r="V25" s="15">
        <v>7.12</v>
      </c>
      <c r="W25" s="7">
        <f t="shared" si="9"/>
        <v>80621.863636363632</v>
      </c>
      <c r="X25" s="15">
        <v>0</v>
      </c>
      <c r="Y25" s="7">
        <f t="shared" si="0"/>
        <v>0</v>
      </c>
      <c r="Z25" s="15">
        <v>0</v>
      </c>
      <c r="AA25" s="7">
        <f t="shared" si="10"/>
        <v>0</v>
      </c>
      <c r="AB25" s="15">
        <v>0</v>
      </c>
      <c r="AC25" s="14">
        <f t="shared" si="11"/>
        <v>0</v>
      </c>
      <c r="AD25" s="14">
        <f t="shared" si="1"/>
        <v>7.12</v>
      </c>
      <c r="AE25" s="14">
        <f t="shared" si="2"/>
        <v>80621.863636363632</v>
      </c>
      <c r="AF25" s="15">
        <v>0</v>
      </c>
      <c r="AG25" s="7">
        <f t="shared" si="12"/>
        <v>0</v>
      </c>
      <c r="AH25" s="15">
        <v>0</v>
      </c>
      <c r="AI25" s="7">
        <f t="shared" si="13"/>
        <v>0</v>
      </c>
      <c r="AJ25" s="15">
        <v>0</v>
      </c>
      <c r="AK25" s="14">
        <f t="shared" si="14"/>
        <v>0</v>
      </c>
      <c r="AL25" s="15">
        <v>0</v>
      </c>
      <c r="AM25" s="7">
        <f t="shared" si="15"/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54.66</v>
      </c>
      <c r="AS25" s="7">
        <f t="shared" si="16"/>
        <v>123786.26590909089</v>
      </c>
      <c r="AT25" s="14">
        <f t="shared" si="3"/>
        <v>54.66</v>
      </c>
      <c r="AU25" s="14">
        <f t="shared" si="3"/>
        <v>123786.26590909089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260092</v>
      </c>
      <c r="BD25" s="15">
        <v>0</v>
      </c>
      <c r="BE25" s="15">
        <v>328224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195384</v>
      </c>
      <c r="BQ25" s="15">
        <v>39700</v>
      </c>
      <c r="BR25" s="14">
        <f t="shared" si="4"/>
        <v>235084</v>
      </c>
      <c r="BS25" s="15">
        <v>65200</v>
      </c>
      <c r="BT25" s="15">
        <v>0</v>
      </c>
      <c r="BU25" s="15">
        <v>0</v>
      </c>
      <c r="BV25" s="14">
        <f t="shared" si="5"/>
        <v>65200</v>
      </c>
      <c r="BW25" s="15">
        <v>152320</v>
      </c>
      <c r="BX25" s="15">
        <v>18279</v>
      </c>
      <c r="BY25" s="15">
        <v>152320</v>
      </c>
      <c r="BZ25" s="15">
        <v>70651</v>
      </c>
      <c r="CA25" s="15">
        <v>0</v>
      </c>
      <c r="CB25" s="15">
        <v>393570</v>
      </c>
      <c r="CC25" s="15">
        <v>3110078</v>
      </c>
      <c r="CD25" s="15">
        <v>186606</v>
      </c>
      <c r="CE25" s="15">
        <v>0</v>
      </c>
      <c r="CF25" s="14">
        <f t="shared" si="6"/>
        <v>3296684.1295454544</v>
      </c>
      <c r="CG25" s="18"/>
      <c r="CH25" s="16"/>
      <c r="CI25" s="17"/>
      <c r="CJ25" s="17"/>
    </row>
    <row r="26" spans="1:88" s="13" customFormat="1" x14ac:dyDescent="0.35">
      <c r="A26" s="13">
        <v>1000135937</v>
      </c>
      <c r="B26" s="17" t="s">
        <v>95</v>
      </c>
      <c r="C26" s="17" t="s">
        <v>83</v>
      </c>
      <c r="D26" s="17" t="s">
        <v>286</v>
      </c>
      <c r="E26" s="17">
        <v>6571</v>
      </c>
      <c r="F26" s="17" t="s">
        <v>88</v>
      </c>
      <c r="G26" s="17" t="s">
        <v>89</v>
      </c>
      <c r="H26" s="17">
        <v>1000135937</v>
      </c>
      <c r="I26" s="17" t="s">
        <v>128</v>
      </c>
      <c r="J26" s="17" t="s">
        <v>94</v>
      </c>
      <c r="K26" s="17">
        <v>0</v>
      </c>
      <c r="L26" s="17">
        <v>0</v>
      </c>
      <c r="M26" s="17" t="s">
        <v>96</v>
      </c>
      <c r="N26" s="19">
        <v>45632</v>
      </c>
      <c r="O26" s="19">
        <v>45849</v>
      </c>
      <c r="P26" s="20">
        <v>1423500</v>
      </c>
      <c r="Q26" s="17">
        <v>0</v>
      </c>
      <c r="R26" s="14">
        <f t="shared" si="7"/>
        <v>0</v>
      </c>
      <c r="S26" s="15">
        <v>0</v>
      </c>
      <c r="T26" s="15">
        <v>0</v>
      </c>
      <c r="U26" s="7">
        <f t="shared" si="8"/>
        <v>0</v>
      </c>
      <c r="V26" s="15">
        <v>3.95</v>
      </c>
      <c r="W26" s="7">
        <f>+P26/230*V26*1.75</f>
        <v>42782.364130434791</v>
      </c>
      <c r="X26" s="15">
        <v>0</v>
      </c>
      <c r="Y26" s="7">
        <f t="shared" si="0"/>
        <v>0</v>
      </c>
      <c r="Z26" s="15">
        <v>0</v>
      </c>
      <c r="AA26" s="7">
        <f t="shared" si="10"/>
        <v>0</v>
      </c>
      <c r="AB26" s="15">
        <v>0</v>
      </c>
      <c r="AC26" s="14">
        <f t="shared" si="11"/>
        <v>0</v>
      </c>
      <c r="AD26" s="14">
        <f t="shared" si="1"/>
        <v>3.95</v>
      </c>
      <c r="AE26" s="14">
        <f t="shared" si="2"/>
        <v>42782.364130434791</v>
      </c>
      <c r="AF26" s="15">
        <v>0</v>
      </c>
      <c r="AG26" s="7">
        <f t="shared" si="12"/>
        <v>0</v>
      </c>
      <c r="AH26" s="15">
        <v>0</v>
      </c>
      <c r="AI26" s="7">
        <f t="shared" si="13"/>
        <v>0</v>
      </c>
      <c r="AJ26" s="15">
        <v>2.0299999999999998</v>
      </c>
      <c r="AK26" s="14">
        <f>+P26/230*AJ26*2.1</f>
        <v>26384.263043478259</v>
      </c>
      <c r="AL26" s="15">
        <v>0</v>
      </c>
      <c r="AM26" s="7">
        <f t="shared" si="15"/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70.599999999999994</v>
      </c>
      <c r="AS26" s="7">
        <f>+P26/230*AR26*0.35</f>
        <v>152933.41304347824</v>
      </c>
      <c r="AT26" s="14">
        <f t="shared" si="3"/>
        <v>72.63</v>
      </c>
      <c r="AU26" s="14">
        <f t="shared" si="3"/>
        <v>179317.67608695649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90000</v>
      </c>
      <c r="BE26" s="15">
        <v>0</v>
      </c>
      <c r="BF26" s="15">
        <v>0</v>
      </c>
      <c r="BG26" s="15">
        <v>0</v>
      </c>
      <c r="BH26" s="15">
        <v>9284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38590</v>
      </c>
      <c r="BQ26" s="15">
        <v>7800</v>
      </c>
      <c r="BR26" s="14">
        <f t="shared" si="4"/>
        <v>46390</v>
      </c>
      <c r="BS26" s="15">
        <v>12900</v>
      </c>
      <c r="BT26" s="15">
        <v>0</v>
      </c>
      <c r="BU26" s="15">
        <v>0</v>
      </c>
      <c r="BV26" s="14">
        <f t="shared" si="5"/>
        <v>12900</v>
      </c>
      <c r="BW26" s="15">
        <v>26781</v>
      </c>
      <c r="BX26" s="15">
        <v>3213</v>
      </c>
      <c r="BY26" s="15">
        <v>26781</v>
      </c>
      <c r="BZ26" s="15">
        <v>13948</v>
      </c>
      <c r="CA26" s="15">
        <v>0</v>
      </c>
      <c r="CB26" s="15">
        <v>70723</v>
      </c>
      <c r="CC26" s="15">
        <v>451396</v>
      </c>
      <c r="CD26" s="15">
        <v>27085</v>
      </c>
      <c r="CE26" s="15">
        <v>0</v>
      </c>
      <c r="CF26" s="14">
        <f t="shared" si="6"/>
        <v>478482.04021739133</v>
      </c>
      <c r="CG26" s="18"/>
      <c r="CH26" s="16"/>
      <c r="CI26" s="17"/>
      <c r="CJ26" s="17"/>
    </row>
    <row r="27" spans="1:88" s="13" customFormat="1" x14ac:dyDescent="0.35">
      <c r="A27" s="13">
        <v>1070975636</v>
      </c>
      <c r="B27" s="17" t="s">
        <v>95</v>
      </c>
      <c r="C27" s="17" t="s">
        <v>83</v>
      </c>
      <c r="D27" s="17" t="s">
        <v>286</v>
      </c>
      <c r="E27" s="17">
        <v>6563</v>
      </c>
      <c r="F27" s="17" t="s">
        <v>84</v>
      </c>
      <c r="G27" s="17" t="s">
        <v>85</v>
      </c>
      <c r="H27" s="17">
        <v>1070975636</v>
      </c>
      <c r="I27" s="17" t="s">
        <v>129</v>
      </c>
      <c r="J27" s="17" t="s">
        <v>94</v>
      </c>
      <c r="K27" s="17">
        <v>0</v>
      </c>
      <c r="L27" s="17">
        <v>0</v>
      </c>
      <c r="M27" s="17" t="s">
        <v>96</v>
      </c>
      <c r="N27" s="19">
        <v>45635</v>
      </c>
      <c r="O27" s="19">
        <v>45869</v>
      </c>
      <c r="P27" s="20">
        <v>1423500</v>
      </c>
      <c r="Q27" s="17">
        <v>1</v>
      </c>
      <c r="R27" s="14">
        <f t="shared" si="7"/>
        <v>47450</v>
      </c>
      <c r="S27" s="15">
        <v>0</v>
      </c>
      <c r="T27" s="15">
        <v>3</v>
      </c>
      <c r="U27" s="7">
        <f t="shared" si="8"/>
        <v>24264.204545454544</v>
      </c>
      <c r="V27" s="15">
        <v>7</v>
      </c>
      <c r="W27" s="7">
        <f t="shared" si="9"/>
        <v>79263.068181818177</v>
      </c>
      <c r="X27" s="15">
        <v>0</v>
      </c>
      <c r="Y27" s="7">
        <f t="shared" si="0"/>
        <v>0</v>
      </c>
      <c r="Z27" s="15">
        <v>0</v>
      </c>
      <c r="AA27" s="7">
        <f t="shared" si="10"/>
        <v>0</v>
      </c>
      <c r="AB27" s="15">
        <v>0</v>
      </c>
      <c r="AC27" s="14">
        <f t="shared" si="11"/>
        <v>0</v>
      </c>
      <c r="AD27" s="14">
        <f t="shared" si="1"/>
        <v>10</v>
      </c>
      <c r="AE27" s="14">
        <f t="shared" si="2"/>
        <v>103527.27272727272</v>
      </c>
      <c r="AF27" s="15">
        <v>20.92</v>
      </c>
      <c r="AG27" s="7">
        <f t="shared" si="12"/>
        <v>243651.43636363637</v>
      </c>
      <c r="AH27" s="15">
        <v>0</v>
      </c>
      <c r="AI27" s="7">
        <f t="shared" si="13"/>
        <v>0</v>
      </c>
      <c r="AJ27" s="15">
        <v>4.25</v>
      </c>
      <c r="AK27" s="14">
        <f t="shared" si="14"/>
        <v>57748.806818181816</v>
      </c>
      <c r="AL27" s="15">
        <v>0</v>
      </c>
      <c r="AM27" s="7">
        <f t="shared" si="15"/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53.95</v>
      </c>
      <c r="AS27" s="7">
        <f t="shared" si="16"/>
        <v>122178.35795454544</v>
      </c>
      <c r="AT27" s="14">
        <f t="shared" si="3"/>
        <v>79.12</v>
      </c>
      <c r="AU27" s="14">
        <f t="shared" si="3"/>
        <v>423578.60113636358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-54117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65602</v>
      </c>
      <c r="BQ27" s="15">
        <v>11800</v>
      </c>
      <c r="BR27" s="14">
        <f t="shared" si="4"/>
        <v>77402</v>
      </c>
      <c r="BS27" s="15">
        <v>21200</v>
      </c>
      <c r="BT27" s="15">
        <v>0</v>
      </c>
      <c r="BU27" s="15">
        <v>0</v>
      </c>
      <c r="BV27" s="14">
        <f t="shared" si="5"/>
        <v>21200</v>
      </c>
      <c r="BW27" s="15">
        <v>43483</v>
      </c>
      <c r="BX27" s="15">
        <v>5218</v>
      </c>
      <c r="BY27" s="15">
        <v>43483</v>
      </c>
      <c r="BZ27" s="15">
        <v>22936</v>
      </c>
      <c r="CA27" s="15">
        <v>0</v>
      </c>
      <c r="CB27" s="15">
        <v>115120</v>
      </c>
      <c r="CC27" s="15">
        <v>735535</v>
      </c>
      <c r="CD27" s="15">
        <v>45508</v>
      </c>
      <c r="CE27" s="15">
        <v>0</v>
      </c>
      <c r="CF27" s="14">
        <f t="shared" si="6"/>
        <v>779668.87386363628</v>
      </c>
      <c r="CG27" s="18"/>
      <c r="CH27" s="16"/>
      <c r="CI27" s="17"/>
      <c r="CJ27" s="17"/>
    </row>
    <row r="28" spans="1:88" s="13" customFormat="1" x14ac:dyDescent="0.35">
      <c r="A28" s="13">
        <v>1107068309</v>
      </c>
      <c r="B28" s="17" t="s">
        <v>95</v>
      </c>
      <c r="C28" s="17" t="s">
        <v>83</v>
      </c>
      <c r="D28" s="17" t="s">
        <v>286</v>
      </c>
      <c r="E28" s="17">
        <v>1980</v>
      </c>
      <c r="F28" s="17" t="s">
        <v>92</v>
      </c>
      <c r="G28" s="17" t="s">
        <v>93</v>
      </c>
      <c r="H28" s="17">
        <v>1107068309</v>
      </c>
      <c r="I28" s="17" t="s">
        <v>130</v>
      </c>
      <c r="J28" s="17" t="s">
        <v>94</v>
      </c>
      <c r="K28" s="17">
        <v>0</v>
      </c>
      <c r="L28" s="17">
        <v>0</v>
      </c>
      <c r="M28" s="17" t="s">
        <v>96</v>
      </c>
      <c r="N28" s="19">
        <v>45637</v>
      </c>
      <c r="O28" s="19">
        <v>1</v>
      </c>
      <c r="P28" s="20">
        <v>782925</v>
      </c>
      <c r="Q28" s="17">
        <v>30</v>
      </c>
      <c r="R28" s="14">
        <f t="shared" si="7"/>
        <v>782925</v>
      </c>
      <c r="S28" s="15">
        <v>200000</v>
      </c>
      <c r="T28" s="15">
        <v>3.2</v>
      </c>
      <c r="U28" s="7">
        <f>+P28/110*T28*1.25</f>
        <v>28470</v>
      </c>
      <c r="V28" s="15">
        <v>0</v>
      </c>
      <c r="W28" s="7">
        <f t="shared" si="9"/>
        <v>0</v>
      </c>
      <c r="X28" s="15">
        <v>0</v>
      </c>
      <c r="Y28" s="7">
        <f t="shared" si="0"/>
        <v>0</v>
      </c>
      <c r="Z28" s="15">
        <v>0</v>
      </c>
      <c r="AA28" s="7">
        <f t="shared" si="10"/>
        <v>0</v>
      </c>
      <c r="AB28" s="15">
        <v>0</v>
      </c>
      <c r="AC28" s="14">
        <f t="shared" si="11"/>
        <v>0</v>
      </c>
      <c r="AD28" s="14">
        <f t="shared" si="1"/>
        <v>3.2</v>
      </c>
      <c r="AE28" s="14">
        <f t="shared" si="2"/>
        <v>28470</v>
      </c>
      <c r="AF28" s="15">
        <v>2.82</v>
      </c>
      <c r="AG28" s="7">
        <f>+P28/110*AF28*1.8</f>
        <v>36128.43</v>
      </c>
      <c r="AH28" s="15">
        <v>0</v>
      </c>
      <c r="AI28" s="7">
        <f t="shared" si="13"/>
        <v>0</v>
      </c>
      <c r="AJ28" s="15">
        <v>0</v>
      </c>
      <c r="AK28" s="14">
        <f t="shared" si="14"/>
        <v>0</v>
      </c>
      <c r="AL28" s="15">
        <v>0</v>
      </c>
      <c r="AM28" s="7">
        <f t="shared" si="15"/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3</v>
      </c>
      <c r="AS28" s="7">
        <f>+P28/110*AR28*0.35</f>
        <v>7473.3749999999991</v>
      </c>
      <c r="AT28" s="14">
        <f t="shared" si="3"/>
        <v>5.82</v>
      </c>
      <c r="AU28" s="14">
        <f t="shared" si="3"/>
        <v>43601.805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234083</v>
      </c>
      <c r="BD28" s="15">
        <v>0</v>
      </c>
      <c r="BE28" s="15">
        <v>295402</v>
      </c>
      <c r="BF28" s="15">
        <v>0</v>
      </c>
      <c r="BG28" s="15">
        <v>0</v>
      </c>
      <c r="BH28" s="15">
        <v>25977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170860</v>
      </c>
      <c r="BQ28" s="15">
        <v>62000</v>
      </c>
      <c r="BR28" s="14">
        <f t="shared" si="4"/>
        <v>232860</v>
      </c>
      <c r="BS28" s="15">
        <v>34200</v>
      </c>
      <c r="BT28" s="15">
        <v>0</v>
      </c>
      <c r="BU28" s="15">
        <v>0</v>
      </c>
      <c r="BV28" s="14">
        <f t="shared" si="5"/>
        <v>34200</v>
      </c>
      <c r="BW28" s="15">
        <v>94032</v>
      </c>
      <c r="BX28" s="15">
        <v>11284</v>
      </c>
      <c r="BY28" s="15">
        <v>94032</v>
      </c>
      <c r="BZ28" s="15">
        <v>41558</v>
      </c>
      <c r="CA28" s="15">
        <v>0</v>
      </c>
      <c r="CB28" s="15">
        <v>240906</v>
      </c>
      <c r="CC28" s="15">
        <v>2118425</v>
      </c>
      <c r="CD28" s="15">
        <v>127106</v>
      </c>
      <c r="CE28" s="15">
        <v>0</v>
      </c>
      <c r="CF28" s="14">
        <f t="shared" si="6"/>
        <v>2245530.8049999997</v>
      </c>
      <c r="CG28" s="18"/>
      <c r="CH28" s="16"/>
      <c r="CI28" s="15"/>
      <c r="CJ28" s="15"/>
    </row>
    <row r="29" spans="1:88" s="13" customFormat="1" x14ac:dyDescent="0.35">
      <c r="A29" s="13">
        <v>1193127691</v>
      </c>
      <c r="B29" s="17" t="s">
        <v>95</v>
      </c>
      <c r="C29" s="17" t="s">
        <v>83</v>
      </c>
      <c r="D29" s="17" t="s">
        <v>286</v>
      </c>
      <c r="E29" s="17">
        <v>6571</v>
      </c>
      <c r="F29" s="17" t="s">
        <v>88</v>
      </c>
      <c r="G29" s="17" t="s">
        <v>89</v>
      </c>
      <c r="H29" s="17">
        <v>1193127691</v>
      </c>
      <c r="I29" s="17" t="s">
        <v>131</v>
      </c>
      <c r="J29" s="17" t="s">
        <v>94</v>
      </c>
      <c r="K29" s="17">
        <v>0</v>
      </c>
      <c r="L29" s="17">
        <v>0</v>
      </c>
      <c r="M29" s="17" t="s">
        <v>96</v>
      </c>
      <c r="N29" s="19">
        <v>45639</v>
      </c>
      <c r="O29" s="19">
        <v>1</v>
      </c>
      <c r="P29" s="20">
        <v>1423500</v>
      </c>
      <c r="Q29" s="17">
        <v>30</v>
      </c>
      <c r="R29" s="14">
        <f t="shared" si="7"/>
        <v>1423500</v>
      </c>
      <c r="S29" s="15">
        <v>200000</v>
      </c>
      <c r="T29" s="15">
        <v>0</v>
      </c>
      <c r="U29" s="7">
        <f t="shared" si="8"/>
        <v>0</v>
      </c>
      <c r="V29" s="15">
        <v>3.08</v>
      </c>
      <c r="W29" s="7">
        <f t="shared" si="9"/>
        <v>34875.75</v>
      </c>
      <c r="X29" s="15">
        <v>0</v>
      </c>
      <c r="Y29" s="7">
        <f t="shared" si="0"/>
        <v>0</v>
      </c>
      <c r="Z29" s="15">
        <v>0</v>
      </c>
      <c r="AA29" s="7">
        <f t="shared" si="10"/>
        <v>0</v>
      </c>
      <c r="AB29" s="15">
        <v>0</v>
      </c>
      <c r="AC29" s="14">
        <f t="shared" si="11"/>
        <v>0</v>
      </c>
      <c r="AD29" s="14">
        <f t="shared" si="1"/>
        <v>3.08</v>
      </c>
      <c r="AE29" s="14">
        <f t="shared" si="2"/>
        <v>34875.75</v>
      </c>
      <c r="AF29" s="15">
        <v>0</v>
      </c>
      <c r="AG29" s="7">
        <f t="shared" si="12"/>
        <v>0</v>
      </c>
      <c r="AH29" s="15">
        <v>0</v>
      </c>
      <c r="AI29" s="7">
        <f t="shared" si="13"/>
        <v>0</v>
      </c>
      <c r="AJ29" s="15">
        <v>0</v>
      </c>
      <c r="AK29" s="14">
        <f t="shared" si="14"/>
        <v>0</v>
      </c>
      <c r="AL29" s="15">
        <v>0</v>
      </c>
      <c r="AM29" s="7">
        <f t="shared" si="15"/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56</v>
      </c>
      <c r="AS29" s="7">
        <f t="shared" si="16"/>
        <v>126820.90909090907</v>
      </c>
      <c r="AT29" s="14">
        <f t="shared" si="3"/>
        <v>56</v>
      </c>
      <c r="AU29" s="14">
        <f t="shared" si="3"/>
        <v>126820.90909090907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110000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203492</v>
      </c>
      <c r="BQ29" s="15">
        <v>41300</v>
      </c>
      <c r="BR29" s="14">
        <f t="shared" si="4"/>
        <v>244792</v>
      </c>
      <c r="BS29" s="15">
        <v>67900</v>
      </c>
      <c r="BT29" s="15">
        <v>0</v>
      </c>
      <c r="BU29" s="15">
        <v>0</v>
      </c>
      <c r="BV29" s="14">
        <f t="shared" si="5"/>
        <v>67900</v>
      </c>
      <c r="BW29" s="15">
        <v>157927</v>
      </c>
      <c r="BX29" s="15">
        <v>18952</v>
      </c>
      <c r="BY29" s="15">
        <v>157927</v>
      </c>
      <c r="BZ29" s="15">
        <v>73572</v>
      </c>
      <c r="CA29" s="15">
        <v>0</v>
      </c>
      <c r="CB29" s="15">
        <v>408378</v>
      </c>
      <c r="CC29" s="15">
        <v>2616267</v>
      </c>
      <c r="CD29" s="15">
        <v>156978</v>
      </c>
      <c r="CE29" s="15">
        <v>0</v>
      </c>
      <c r="CF29" s="14">
        <f t="shared" si="6"/>
        <v>2773244.6590909092</v>
      </c>
      <c r="CG29" s="18"/>
      <c r="CH29" s="16"/>
      <c r="CI29" s="17"/>
      <c r="CJ29" s="17"/>
    </row>
    <row r="30" spans="1:88" s="13" customFormat="1" x14ac:dyDescent="0.35">
      <c r="A30" s="13">
        <v>1003715438</v>
      </c>
      <c r="B30" s="17" t="s">
        <v>95</v>
      </c>
      <c r="C30" s="17" t="s">
        <v>83</v>
      </c>
      <c r="D30" s="17" t="s">
        <v>286</v>
      </c>
      <c r="E30" s="17">
        <v>6563</v>
      </c>
      <c r="F30" s="17" t="s">
        <v>84</v>
      </c>
      <c r="G30" s="17" t="s">
        <v>85</v>
      </c>
      <c r="H30" s="17">
        <v>1003715438</v>
      </c>
      <c r="I30" s="17" t="s">
        <v>132</v>
      </c>
      <c r="J30" s="17" t="s">
        <v>94</v>
      </c>
      <c r="K30" s="17">
        <v>0</v>
      </c>
      <c r="L30" s="17">
        <v>0</v>
      </c>
      <c r="M30" s="17" t="s">
        <v>96</v>
      </c>
      <c r="N30" s="19">
        <v>45643</v>
      </c>
      <c r="O30" s="19">
        <v>45853</v>
      </c>
      <c r="P30" s="20">
        <v>1423500</v>
      </c>
      <c r="Q30" s="17">
        <v>0</v>
      </c>
      <c r="R30" s="14">
        <f t="shared" si="7"/>
        <v>0</v>
      </c>
      <c r="S30" s="15">
        <v>0</v>
      </c>
      <c r="T30" s="15">
        <v>6</v>
      </c>
      <c r="U30" s="7">
        <f>+P30/220*T30*1.25</f>
        <v>48528.409090909088</v>
      </c>
      <c r="V30" s="15">
        <v>4</v>
      </c>
      <c r="W30" s="7">
        <f>+P30/220*V30*1.75</f>
        <v>45293.181818181816</v>
      </c>
      <c r="X30" s="15">
        <v>0</v>
      </c>
      <c r="Y30" s="7">
        <f t="shared" si="0"/>
        <v>0</v>
      </c>
      <c r="Z30" s="15">
        <v>0</v>
      </c>
      <c r="AA30" s="7">
        <f t="shared" si="10"/>
        <v>0</v>
      </c>
      <c r="AB30" s="15">
        <v>0</v>
      </c>
      <c r="AC30" s="14">
        <f t="shared" si="11"/>
        <v>0</v>
      </c>
      <c r="AD30" s="14">
        <f t="shared" si="1"/>
        <v>10</v>
      </c>
      <c r="AE30" s="14">
        <f t="shared" si="2"/>
        <v>93821.590909090912</v>
      </c>
      <c r="AF30" s="15">
        <v>14.98</v>
      </c>
      <c r="AG30" s="7">
        <f>+P30/220*AF30*1.8</f>
        <v>174469.33636363636</v>
      </c>
      <c r="AH30" s="15">
        <v>0</v>
      </c>
      <c r="AI30" s="7">
        <f t="shared" si="13"/>
        <v>0</v>
      </c>
      <c r="AJ30" s="15">
        <v>4.9800000000000004</v>
      </c>
      <c r="AK30" s="14">
        <f>+P30/220*AJ30*2.1</f>
        <v>67668.013636363641</v>
      </c>
      <c r="AL30" s="15">
        <v>0</v>
      </c>
      <c r="AM30" s="7">
        <f t="shared" si="15"/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121.93</v>
      </c>
      <c r="AS30" s="7">
        <f>+P30/220*AR30*0.35</f>
        <v>276129.88295454544</v>
      </c>
      <c r="AT30" s="14">
        <f t="shared" si="3"/>
        <v>141.89000000000001</v>
      </c>
      <c r="AU30" s="14">
        <f t="shared" si="3"/>
        <v>518267.23295454541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72950</v>
      </c>
      <c r="BQ30" s="15">
        <v>14800</v>
      </c>
      <c r="BR30" s="14">
        <f t="shared" si="4"/>
        <v>87750</v>
      </c>
      <c r="BS30" s="15">
        <v>24300</v>
      </c>
      <c r="BT30" s="15">
        <v>0</v>
      </c>
      <c r="BU30" s="15">
        <v>0</v>
      </c>
      <c r="BV30" s="14">
        <f t="shared" si="5"/>
        <v>24300</v>
      </c>
      <c r="BW30" s="15">
        <v>50602</v>
      </c>
      <c r="BX30" s="15">
        <v>6072</v>
      </c>
      <c r="BY30" s="15">
        <v>50602</v>
      </c>
      <c r="BZ30" s="15">
        <v>26354</v>
      </c>
      <c r="CA30" s="15">
        <v>0</v>
      </c>
      <c r="CB30" s="15">
        <v>133630</v>
      </c>
      <c r="CC30" s="15">
        <v>852922</v>
      </c>
      <c r="CD30" s="15">
        <v>46329</v>
      </c>
      <c r="CE30" s="15">
        <v>0</v>
      </c>
      <c r="CF30" s="14">
        <f t="shared" si="6"/>
        <v>904097.82386363635</v>
      </c>
      <c r="CG30" s="18"/>
      <c r="CH30" s="16"/>
      <c r="CI30" s="17"/>
      <c r="CJ30" s="17"/>
    </row>
    <row r="31" spans="1:88" s="13" customFormat="1" x14ac:dyDescent="0.35">
      <c r="A31" s="13">
        <v>1072593512</v>
      </c>
      <c r="B31" s="17" t="s">
        <v>95</v>
      </c>
      <c r="C31" s="17" t="s">
        <v>83</v>
      </c>
      <c r="D31" s="17" t="s">
        <v>286</v>
      </c>
      <c r="E31" s="17">
        <v>6563</v>
      </c>
      <c r="F31" s="17" t="s">
        <v>84</v>
      </c>
      <c r="G31" s="17" t="s">
        <v>85</v>
      </c>
      <c r="H31" s="17">
        <v>1072593512</v>
      </c>
      <c r="I31" s="17" t="s">
        <v>133</v>
      </c>
      <c r="J31" s="17" t="s">
        <v>94</v>
      </c>
      <c r="K31" s="17">
        <v>0</v>
      </c>
      <c r="L31" s="17">
        <v>0</v>
      </c>
      <c r="M31" s="17" t="s">
        <v>96</v>
      </c>
      <c r="N31" s="19">
        <v>45643</v>
      </c>
      <c r="O31" s="19">
        <v>1</v>
      </c>
      <c r="P31" s="20">
        <v>1423500</v>
      </c>
      <c r="Q31" s="17">
        <v>28</v>
      </c>
      <c r="R31" s="14">
        <f t="shared" si="7"/>
        <v>1328600</v>
      </c>
      <c r="S31" s="15">
        <v>180000</v>
      </c>
      <c r="T31" s="15">
        <v>0</v>
      </c>
      <c r="U31" s="7">
        <f t="shared" si="8"/>
        <v>0</v>
      </c>
      <c r="V31" s="15">
        <v>6.5</v>
      </c>
      <c r="W31" s="7">
        <f t="shared" si="9"/>
        <v>73601.420454545456</v>
      </c>
      <c r="X31" s="15">
        <v>0</v>
      </c>
      <c r="Y31" s="7">
        <f t="shared" si="0"/>
        <v>0</v>
      </c>
      <c r="Z31" s="15">
        <v>0</v>
      </c>
      <c r="AA31" s="7">
        <f t="shared" si="10"/>
        <v>0</v>
      </c>
      <c r="AB31" s="15">
        <v>0</v>
      </c>
      <c r="AC31" s="14">
        <f t="shared" si="11"/>
        <v>0</v>
      </c>
      <c r="AD31" s="14">
        <f t="shared" si="1"/>
        <v>6.5</v>
      </c>
      <c r="AE31" s="14">
        <f t="shared" si="2"/>
        <v>73601.420454545456</v>
      </c>
      <c r="AF31" s="15">
        <v>7</v>
      </c>
      <c r="AG31" s="7">
        <f t="shared" si="12"/>
        <v>81527.727272727265</v>
      </c>
      <c r="AH31" s="15">
        <v>0</v>
      </c>
      <c r="AI31" s="7">
        <f t="shared" si="13"/>
        <v>0</v>
      </c>
      <c r="AJ31" s="15">
        <v>1</v>
      </c>
      <c r="AK31" s="14">
        <f t="shared" si="14"/>
        <v>13587.954545454546</v>
      </c>
      <c r="AL31" s="15">
        <v>0</v>
      </c>
      <c r="AM31" s="7">
        <f t="shared" si="15"/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42</v>
      </c>
      <c r="AS31" s="7">
        <f t="shared" si="16"/>
        <v>95115.681818181809</v>
      </c>
      <c r="AT31" s="14">
        <f t="shared" si="3"/>
        <v>50</v>
      </c>
      <c r="AU31" s="14">
        <f t="shared" si="3"/>
        <v>190231.36363636362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106533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230136</v>
      </c>
      <c r="BQ31" s="15">
        <v>40300</v>
      </c>
      <c r="BR31" s="14">
        <f t="shared" si="4"/>
        <v>270436</v>
      </c>
      <c r="BS31" s="15">
        <v>68000</v>
      </c>
      <c r="BT31" s="15">
        <v>0</v>
      </c>
      <c r="BU31" s="15">
        <v>0</v>
      </c>
      <c r="BV31" s="14">
        <f t="shared" si="5"/>
        <v>68000</v>
      </c>
      <c r="BW31" s="15">
        <v>156601</v>
      </c>
      <c r="BX31" s="15">
        <v>18793</v>
      </c>
      <c r="BY31" s="15">
        <v>156601</v>
      </c>
      <c r="BZ31" s="15">
        <v>73749</v>
      </c>
      <c r="CA31" s="15">
        <v>0</v>
      </c>
      <c r="CB31" s="15">
        <v>405744</v>
      </c>
      <c r="CC31" s="15">
        <v>2623469</v>
      </c>
      <c r="CD31" s="16">
        <v>157733.21590909082</v>
      </c>
      <c r="CE31" s="15">
        <v>0</v>
      </c>
      <c r="CF31" s="14">
        <f t="shared" si="6"/>
        <v>2780879</v>
      </c>
      <c r="CG31" s="18"/>
      <c r="CH31" s="16"/>
      <c r="CI31" s="22"/>
      <c r="CJ31" s="17"/>
    </row>
    <row r="32" spans="1:88" s="13" customFormat="1" x14ac:dyDescent="0.35">
      <c r="A32" s="13">
        <v>1118297888</v>
      </c>
      <c r="B32" s="17" t="s">
        <v>95</v>
      </c>
      <c r="C32" s="17" t="s">
        <v>83</v>
      </c>
      <c r="D32" s="17" t="s">
        <v>286</v>
      </c>
      <c r="E32" s="17">
        <v>1980</v>
      </c>
      <c r="F32" s="17" t="s">
        <v>92</v>
      </c>
      <c r="G32" s="17" t="s">
        <v>93</v>
      </c>
      <c r="H32" s="17">
        <v>1118297888</v>
      </c>
      <c r="I32" s="17" t="s">
        <v>134</v>
      </c>
      <c r="J32" s="17" t="s">
        <v>94</v>
      </c>
      <c r="K32" s="17">
        <v>0</v>
      </c>
      <c r="L32" s="17">
        <v>0</v>
      </c>
      <c r="M32" s="17" t="s">
        <v>96</v>
      </c>
      <c r="N32" s="19">
        <v>45667</v>
      </c>
      <c r="O32" s="19">
        <v>1</v>
      </c>
      <c r="P32" s="20">
        <v>782925</v>
      </c>
      <c r="Q32" s="17">
        <v>30</v>
      </c>
      <c r="R32" s="14">
        <f t="shared" si="7"/>
        <v>782925</v>
      </c>
      <c r="S32" s="15">
        <v>200000</v>
      </c>
      <c r="T32" s="15">
        <v>8.1300000000000008</v>
      </c>
      <c r="U32" s="7">
        <f>+P32/110*T32*1.25</f>
        <v>72331.593750000015</v>
      </c>
      <c r="V32" s="15">
        <v>0</v>
      </c>
      <c r="W32" s="7">
        <f t="shared" si="9"/>
        <v>0</v>
      </c>
      <c r="X32" s="15">
        <v>0</v>
      </c>
      <c r="Y32" s="7">
        <f t="shared" si="0"/>
        <v>0</v>
      </c>
      <c r="Z32" s="15">
        <v>0</v>
      </c>
      <c r="AA32" s="7">
        <f t="shared" si="10"/>
        <v>0</v>
      </c>
      <c r="AB32" s="15">
        <v>0</v>
      </c>
      <c r="AC32" s="14">
        <f t="shared" si="11"/>
        <v>0</v>
      </c>
      <c r="AD32" s="14">
        <f t="shared" si="1"/>
        <v>8.1300000000000008</v>
      </c>
      <c r="AE32" s="14">
        <f t="shared" si="2"/>
        <v>72331.593750000015</v>
      </c>
      <c r="AF32" s="15">
        <v>0</v>
      </c>
      <c r="AG32" s="7">
        <f>+P32/110*AF32*1.8</f>
        <v>0</v>
      </c>
      <c r="AH32" s="15">
        <v>0</v>
      </c>
      <c r="AI32" s="7">
        <f t="shared" si="13"/>
        <v>0</v>
      </c>
      <c r="AJ32" s="15">
        <v>0</v>
      </c>
      <c r="AK32" s="14">
        <f t="shared" si="14"/>
        <v>0</v>
      </c>
      <c r="AL32" s="15">
        <v>0</v>
      </c>
      <c r="AM32" s="7">
        <f t="shared" si="15"/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5</v>
      </c>
      <c r="AS32" s="7">
        <f>+P32/110*AR32*0.35</f>
        <v>12455.625</v>
      </c>
      <c r="AT32" s="14">
        <f t="shared" si="3"/>
        <v>5</v>
      </c>
      <c r="AU32" s="14">
        <f t="shared" si="3"/>
        <v>12455.625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260092</v>
      </c>
      <c r="BD32" s="15">
        <v>0</v>
      </c>
      <c r="BE32" s="15">
        <v>328224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170860</v>
      </c>
      <c r="BQ32" s="15">
        <v>34700</v>
      </c>
      <c r="BR32" s="14">
        <f t="shared" si="4"/>
        <v>205560</v>
      </c>
      <c r="BS32" s="15">
        <v>34800</v>
      </c>
      <c r="BT32" s="15">
        <v>0</v>
      </c>
      <c r="BU32" s="15">
        <v>0</v>
      </c>
      <c r="BV32" s="14">
        <f t="shared" si="5"/>
        <v>34800</v>
      </c>
      <c r="BW32" s="15">
        <v>88973</v>
      </c>
      <c r="BX32" s="15">
        <v>10677</v>
      </c>
      <c r="BY32" s="15">
        <v>88973</v>
      </c>
      <c r="BZ32" s="15">
        <v>37659</v>
      </c>
      <c r="CA32" s="15">
        <v>0</v>
      </c>
      <c r="CB32" s="15">
        <v>226282</v>
      </c>
      <c r="CC32" s="15">
        <v>2122672</v>
      </c>
      <c r="CD32" s="15">
        <v>127361</v>
      </c>
      <c r="CE32" s="15">
        <v>0</v>
      </c>
      <c r="CF32" s="14">
        <f t="shared" si="6"/>
        <v>2250031.21875</v>
      </c>
      <c r="CG32" s="18"/>
      <c r="CH32" s="16"/>
      <c r="CI32" s="17"/>
      <c r="CJ32" s="17"/>
    </row>
    <row r="33" spans="1:88" s="13" customFormat="1" x14ac:dyDescent="0.35">
      <c r="A33" s="13">
        <v>1006180232</v>
      </c>
      <c r="B33" s="17" t="s">
        <v>95</v>
      </c>
      <c r="C33" s="17" t="s">
        <v>83</v>
      </c>
      <c r="D33" s="17" t="s">
        <v>286</v>
      </c>
      <c r="E33" s="17">
        <v>1980</v>
      </c>
      <c r="F33" s="17" t="s">
        <v>92</v>
      </c>
      <c r="G33" s="17" t="s">
        <v>93</v>
      </c>
      <c r="H33" s="17">
        <v>1006180232</v>
      </c>
      <c r="I33" s="17" t="s">
        <v>135</v>
      </c>
      <c r="J33" s="17" t="s">
        <v>94</v>
      </c>
      <c r="K33" s="17">
        <v>0</v>
      </c>
      <c r="L33" s="17">
        <v>0</v>
      </c>
      <c r="M33" s="17" t="s">
        <v>96</v>
      </c>
      <c r="N33" s="19">
        <v>45671</v>
      </c>
      <c r="O33" s="19">
        <v>1</v>
      </c>
      <c r="P33" s="20">
        <v>1423500</v>
      </c>
      <c r="Q33" s="17">
        <v>30</v>
      </c>
      <c r="R33" s="14">
        <f t="shared" si="7"/>
        <v>1423500</v>
      </c>
      <c r="S33" s="15">
        <v>186667</v>
      </c>
      <c r="T33" s="15">
        <v>7.45</v>
      </c>
      <c r="U33" s="7">
        <f t="shared" si="8"/>
        <v>60256.107954545449</v>
      </c>
      <c r="V33" s="15">
        <v>0</v>
      </c>
      <c r="W33" s="7">
        <f t="shared" si="9"/>
        <v>0</v>
      </c>
      <c r="X33" s="15">
        <v>0</v>
      </c>
      <c r="Y33" s="7">
        <f t="shared" si="0"/>
        <v>0</v>
      </c>
      <c r="Z33" s="15">
        <v>0</v>
      </c>
      <c r="AA33" s="7">
        <f t="shared" si="10"/>
        <v>0</v>
      </c>
      <c r="AB33" s="15">
        <v>0</v>
      </c>
      <c r="AC33" s="14">
        <f t="shared" si="11"/>
        <v>0</v>
      </c>
      <c r="AD33" s="14">
        <f t="shared" si="1"/>
        <v>7.45</v>
      </c>
      <c r="AE33" s="14">
        <f t="shared" si="2"/>
        <v>60256.107954545449</v>
      </c>
      <c r="AF33" s="15">
        <v>5.94</v>
      </c>
      <c r="AG33" s="7">
        <f t="shared" si="12"/>
        <v>69182.100000000006</v>
      </c>
      <c r="AH33" s="15">
        <v>0</v>
      </c>
      <c r="AI33" s="7">
        <f t="shared" si="13"/>
        <v>0</v>
      </c>
      <c r="AJ33" s="15">
        <v>0</v>
      </c>
      <c r="AK33" s="14">
        <f t="shared" si="14"/>
        <v>0</v>
      </c>
      <c r="AL33" s="15">
        <v>0</v>
      </c>
      <c r="AM33" s="7">
        <f t="shared" si="15"/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4</v>
      </c>
      <c r="AS33" s="7">
        <f t="shared" si="16"/>
        <v>9058.6363636363621</v>
      </c>
      <c r="AT33" s="14">
        <f t="shared" si="3"/>
        <v>9.9400000000000013</v>
      </c>
      <c r="AU33" s="14">
        <f t="shared" si="3"/>
        <v>78240.736363636373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242752</v>
      </c>
      <c r="BD33" s="15">
        <v>0</v>
      </c>
      <c r="BE33" s="15">
        <v>306343</v>
      </c>
      <c r="BF33" s="15">
        <v>0</v>
      </c>
      <c r="BG33" s="15">
        <v>0</v>
      </c>
      <c r="BH33" s="15">
        <v>-3719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188456</v>
      </c>
      <c r="BQ33" s="15">
        <v>63900</v>
      </c>
      <c r="BR33" s="14">
        <f t="shared" si="4"/>
        <v>252356</v>
      </c>
      <c r="BS33" s="15">
        <v>62500</v>
      </c>
      <c r="BT33" s="15">
        <v>0</v>
      </c>
      <c r="BU33" s="15">
        <v>0</v>
      </c>
      <c r="BV33" s="14">
        <f t="shared" si="5"/>
        <v>62500</v>
      </c>
      <c r="BW33" s="15">
        <v>145406</v>
      </c>
      <c r="BX33" s="15">
        <v>17449</v>
      </c>
      <c r="BY33" s="15">
        <v>145406</v>
      </c>
      <c r="BZ33" s="15">
        <v>68191</v>
      </c>
      <c r="CA33" s="15">
        <v>0</v>
      </c>
      <c r="CB33" s="15">
        <v>376452</v>
      </c>
      <c r="CC33" s="15">
        <v>2985348</v>
      </c>
      <c r="CD33" s="15">
        <v>179123</v>
      </c>
      <c r="CE33" s="15">
        <v>0</v>
      </c>
      <c r="CF33" s="14">
        <f t="shared" si="6"/>
        <v>3164470.8443181817</v>
      </c>
      <c r="CG33" s="18"/>
      <c r="CH33" s="16"/>
      <c r="CI33" s="17"/>
      <c r="CJ33" s="17"/>
    </row>
    <row r="34" spans="1:88" s="13" customFormat="1" x14ac:dyDescent="0.35">
      <c r="A34" s="13">
        <v>1007616252</v>
      </c>
      <c r="B34" s="17" t="s">
        <v>95</v>
      </c>
      <c r="C34" s="17" t="s">
        <v>83</v>
      </c>
      <c r="D34" s="17" t="s">
        <v>286</v>
      </c>
      <c r="E34" s="17">
        <v>6571</v>
      </c>
      <c r="F34" s="17" t="s">
        <v>88</v>
      </c>
      <c r="G34" s="17" t="s">
        <v>89</v>
      </c>
      <c r="H34" s="17">
        <v>1007616252</v>
      </c>
      <c r="I34" s="17" t="s">
        <v>136</v>
      </c>
      <c r="J34" s="17" t="s">
        <v>94</v>
      </c>
      <c r="K34" s="17">
        <v>0</v>
      </c>
      <c r="L34" s="17">
        <v>0</v>
      </c>
      <c r="M34" s="17" t="s">
        <v>96</v>
      </c>
      <c r="N34" s="19">
        <v>45679</v>
      </c>
      <c r="O34" s="19">
        <v>1</v>
      </c>
      <c r="P34" s="20">
        <v>1423500</v>
      </c>
      <c r="Q34" s="17">
        <v>30</v>
      </c>
      <c r="R34" s="14">
        <f t="shared" si="7"/>
        <v>1423500</v>
      </c>
      <c r="S34" s="15">
        <v>200000</v>
      </c>
      <c r="T34" s="15">
        <v>0</v>
      </c>
      <c r="U34" s="7">
        <f t="shared" si="8"/>
        <v>0</v>
      </c>
      <c r="V34" s="15">
        <v>6</v>
      </c>
      <c r="W34" s="7">
        <f t="shared" si="9"/>
        <v>67939.772727272721</v>
      </c>
      <c r="X34" s="15">
        <v>0</v>
      </c>
      <c r="Y34" s="7">
        <f t="shared" si="0"/>
        <v>0</v>
      </c>
      <c r="Z34" s="15">
        <v>2.75</v>
      </c>
      <c r="AA34" s="7">
        <f t="shared" si="10"/>
        <v>44484.375</v>
      </c>
      <c r="AB34" s="15">
        <v>1.75</v>
      </c>
      <c r="AC34" s="14">
        <f t="shared" si="11"/>
        <v>22646.590909090908</v>
      </c>
      <c r="AD34" s="14">
        <f t="shared" si="1"/>
        <v>10.5</v>
      </c>
      <c r="AE34" s="14">
        <f t="shared" si="2"/>
        <v>135070.73863636362</v>
      </c>
      <c r="AF34" s="15">
        <v>2</v>
      </c>
      <c r="AG34" s="7">
        <f t="shared" si="12"/>
        <v>23293.636363636364</v>
      </c>
      <c r="AH34" s="15">
        <v>0</v>
      </c>
      <c r="AI34" s="7">
        <f t="shared" si="13"/>
        <v>0</v>
      </c>
      <c r="AJ34" s="15">
        <v>2</v>
      </c>
      <c r="AK34" s="14">
        <f t="shared" si="14"/>
        <v>27175.909090909092</v>
      </c>
      <c r="AL34" s="15">
        <v>0</v>
      </c>
      <c r="AM34" s="7">
        <f t="shared" si="15"/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59.73</v>
      </c>
      <c r="AS34" s="7">
        <f t="shared" si="16"/>
        <v>135268.08749999997</v>
      </c>
      <c r="AT34" s="14">
        <f t="shared" si="3"/>
        <v>63.73</v>
      </c>
      <c r="AU34" s="14">
        <f t="shared" si="3"/>
        <v>185737.63295454544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110000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222844</v>
      </c>
      <c r="BQ34" s="15">
        <v>45300</v>
      </c>
      <c r="BR34" s="14">
        <f t="shared" si="4"/>
        <v>268144</v>
      </c>
      <c r="BS34" s="15">
        <v>74300</v>
      </c>
      <c r="BT34" s="15">
        <v>0</v>
      </c>
      <c r="BU34" s="15">
        <v>0</v>
      </c>
      <c r="BV34" s="14">
        <f t="shared" si="5"/>
        <v>74300</v>
      </c>
      <c r="BW34" s="15">
        <v>171361</v>
      </c>
      <c r="BX34" s="15">
        <v>20564</v>
      </c>
      <c r="BY34" s="15">
        <v>171361</v>
      </c>
      <c r="BZ34" s="15">
        <v>80568</v>
      </c>
      <c r="CA34" s="15">
        <v>0</v>
      </c>
      <c r="CB34" s="15">
        <v>443854</v>
      </c>
      <c r="CC34" s="15">
        <v>2842710</v>
      </c>
      <c r="CD34" s="16">
        <v>172667.62840909138</v>
      </c>
      <c r="CE34" s="15">
        <v>0</v>
      </c>
      <c r="CF34" s="14">
        <f t="shared" si="6"/>
        <v>3013274</v>
      </c>
      <c r="CG34" s="18"/>
      <c r="CH34" s="16"/>
      <c r="CI34" s="22"/>
      <c r="CJ34" s="17"/>
    </row>
    <row r="35" spans="1:88" s="13" customFormat="1" x14ac:dyDescent="0.35">
      <c r="A35" s="13">
        <v>1014178997</v>
      </c>
      <c r="B35" s="17" t="s">
        <v>95</v>
      </c>
      <c r="C35" s="17" t="s">
        <v>83</v>
      </c>
      <c r="D35" s="17" t="s">
        <v>286</v>
      </c>
      <c r="E35" s="17">
        <v>6563</v>
      </c>
      <c r="F35" s="17" t="s">
        <v>84</v>
      </c>
      <c r="G35" s="17" t="s">
        <v>85</v>
      </c>
      <c r="H35" s="17">
        <v>1014178997</v>
      </c>
      <c r="I35" s="17" t="s">
        <v>137</v>
      </c>
      <c r="J35" s="17" t="s">
        <v>94</v>
      </c>
      <c r="K35" s="17">
        <v>0</v>
      </c>
      <c r="L35" s="17">
        <v>0</v>
      </c>
      <c r="M35" s="17" t="s">
        <v>96</v>
      </c>
      <c r="N35" s="19">
        <v>45680</v>
      </c>
      <c r="O35" s="19">
        <v>1</v>
      </c>
      <c r="P35" s="20">
        <v>1423500</v>
      </c>
      <c r="Q35" s="17">
        <v>28</v>
      </c>
      <c r="R35" s="14">
        <f t="shared" si="7"/>
        <v>1328600</v>
      </c>
      <c r="S35" s="15">
        <v>186667</v>
      </c>
      <c r="T35" s="15">
        <v>6</v>
      </c>
      <c r="U35" s="7">
        <f t="shared" si="8"/>
        <v>48528.409090909088</v>
      </c>
      <c r="V35" s="15">
        <v>0</v>
      </c>
      <c r="W35" s="7">
        <f t="shared" si="9"/>
        <v>0</v>
      </c>
      <c r="X35" s="15">
        <v>0</v>
      </c>
      <c r="Y35" s="7">
        <f t="shared" si="0"/>
        <v>0</v>
      </c>
      <c r="Z35" s="15">
        <v>0</v>
      </c>
      <c r="AA35" s="7">
        <f t="shared" si="10"/>
        <v>0</v>
      </c>
      <c r="AB35" s="15">
        <v>0</v>
      </c>
      <c r="AC35" s="14">
        <f t="shared" si="11"/>
        <v>0</v>
      </c>
      <c r="AD35" s="14">
        <f t="shared" si="1"/>
        <v>6</v>
      </c>
      <c r="AE35" s="14">
        <f t="shared" si="2"/>
        <v>48528.409090909088</v>
      </c>
      <c r="AF35" s="15">
        <v>0</v>
      </c>
      <c r="AG35" s="7">
        <f t="shared" si="12"/>
        <v>0</v>
      </c>
      <c r="AH35" s="15">
        <v>0</v>
      </c>
      <c r="AI35" s="7">
        <f t="shared" si="13"/>
        <v>0</v>
      </c>
      <c r="AJ35" s="15">
        <v>0</v>
      </c>
      <c r="AK35" s="14">
        <f t="shared" si="14"/>
        <v>0</v>
      </c>
      <c r="AL35" s="15">
        <v>0</v>
      </c>
      <c r="AM35" s="7">
        <f t="shared" si="15"/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7">
        <f t="shared" si="16"/>
        <v>0</v>
      </c>
      <c r="AT35" s="14">
        <f t="shared" si="3"/>
        <v>0</v>
      </c>
      <c r="AU35" s="14">
        <f t="shared" si="3"/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8681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185115</v>
      </c>
      <c r="BQ35" s="15">
        <v>33600</v>
      </c>
      <c r="BR35" s="14">
        <f t="shared" si="4"/>
        <v>218715</v>
      </c>
      <c r="BS35" s="15">
        <v>55100</v>
      </c>
      <c r="BT35" s="15">
        <v>0</v>
      </c>
      <c r="BU35" s="15">
        <v>0</v>
      </c>
      <c r="BV35" s="14">
        <f t="shared" si="5"/>
        <v>55100</v>
      </c>
      <c r="BW35" s="15">
        <v>131034</v>
      </c>
      <c r="BX35" s="15">
        <v>15725</v>
      </c>
      <c r="BY35" s="15">
        <v>131034</v>
      </c>
      <c r="BZ35" s="15">
        <v>60685</v>
      </c>
      <c r="CA35" s="15">
        <v>0</v>
      </c>
      <c r="CB35" s="15">
        <v>338478</v>
      </c>
      <c r="CC35" s="15">
        <v>2184769</v>
      </c>
      <c r="CD35" s="15">
        <v>131086</v>
      </c>
      <c r="CE35" s="15">
        <v>0</v>
      </c>
      <c r="CF35" s="14">
        <f t="shared" si="6"/>
        <v>2315855.4090909092</v>
      </c>
      <c r="CG35" s="18"/>
      <c r="CH35" s="16"/>
      <c r="CI35" s="15"/>
      <c r="CJ35" s="15"/>
    </row>
    <row r="36" spans="1:88" s="13" customFormat="1" x14ac:dyDescent="0.35">
      <c r="A36" s="13">
        <v>1109543261</v>
      </c>
      <c r="B36" s="17" t="s">
        <v>95</v>
      </c>
      <c r="C36" s="17" t="s">
        <v>83</v>
      </c>
      <c r="D36" s="17" t="s">
        <v>286</v>
      </c>
      <c r="E36" s="17">
        <v>1980</v>
      </c>
      <c r="F36" s="17" t="s">
        <v>92</v>
      </c>
      <c r="G36" s="17" t="s">
        <v>93</v>
      </c>
      <c r="H36" s="17">
        <v>1109543261</v>
      </c>
      <c r="I36" s="17" t="s">
        <v>138</v>
      </c>
      <c r="J36" s="17" t="s">
        <v>94</v>
      </c>
      <c r="K36" s="17">
        <v>0</v>
      </c>
      <c r="L36" s="17">
        <v>0</v>
      </c>
      <c r="M36" s="17" t="s">
        <v>96</v>
      </c>
      <c r="N36" s="19">
        <v>45681</v>
      </c>
      <c r="O36" s="19">
        <v>1</v>
      </c>
      <c r="P36" s="20">
        <v>782925</v>
      </c>
      <c r="Q36" s="17">
        <v>30</v>
      </c>
      <c r="R36" s="14">
        <f t="shared" si="7"/>
        <v>782925</v>
      </c>
      <c r="S36" s="15">
        <v>200000</v>
      </c>
      <c r="T36" s="15">
        <v>9.14</v>
      </c>
      <c r="U36" s="7">
        <f>+P36/110*T36*1.25</f>
        <v>81317.4375</v>
      </c>
      <c r="V36" s="15">
        <v>0</v>
      </c>
      <c r="W36" s="7">
        <f t="shared" si="9"/>
        <v>0</v>
      </c>
      <c r="X36" s="15">
        <v>0</v>
      </c>
      <c r="Y36" s="7">
        <f t="shared" si="0"/>
        <v>0</v>
      </c>
      <c r="Z36" s="15">
        <v>0</v>
      </c>
      <c r="AA36" s="7">
        <f t="shared" si="10"/>
        <v>0</v>
      </c>
      <c r="AB36" s="15">
        <v>0</v>
      </c>
      <c r="AC36" s="14">
        <f t="shared" si="11"/>
        <v>0</v>
      </c>
      <c r="AD36" s="14">
        <f t="shared" si="1"/>
        <v>9.14</v>
      </c>
      <c r="AE36" s="14">
        <f t="shared" si="2"/>
        <v>81317.4375</v>
      </c>
      <c r="AF36" s="15">
        <v>0</v>
      </c>
      <c r="AG36" s="7">
        <f>+P36/110*AF36*1.8</f>
        <v>0</v>
      </c>
      <c r="AH36" s="15">
        <v>0</v>
      </c>
      <c r="AI36" s="7">
        <f t="shared" si="13"/>
        <v>0</v>
      </c>
      <c r="AJ36" s="15">
        <v>0</v>
      </c>
      <c r="AK36" s="14">
        <f t="shared" si="14"/>
        <v>0</v>
      </c>
      <c r="AL36" s="15">
        <v>0</v>
      </c>
      <c r="AM36" s="7">
        <f t="shared" si="15"/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4</v>
      </c>
      <c r="AS36" s="7">
        <f>+P36/110*AR36*0.35</f>
        <v>9964.5</v>
      </c>
      <c r="AT36" s="14">
        <f t="shared" si="3"/>
        <v>4</v>
      </c>
      <c r="AU36" s="14">
        <f t="shared" si="3"/>
        <v>9964.5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260092</v>
      </c>
      <c r="BD36" s="15">
        <v>0</v>
      </c>
      <c r="BE36" s="15">
        <v>328224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170860</v>
      </c>
      <c r="BQ36" s="15">
        <v>34700</v>
      </c>
      <c r="BR36" s="14">
        <f t="shared" si="4"/>
        <v>205560</v>
      </c>
      <c r="BS36" s="15">
        <v>35000</v>
      </c>
      <c r="BT36" s="15">
        <v>0</v>
      </c>
      <c r="BU36" s="15">
        <v>0</v>
      </c>
      <c r="BV36" s="14">
        <f t="shared" si="5"/>
        <v>35000</v>
      </c>
      <c r="BW36" s="15">
        <v>89514</v>
      </c>
      <c r="BX36" s="15">
        <v>10742</v>
      </c>
      <c r="BY36" s="15">
        <v>89514</v>
      </c>
      <c r="BZ36" s="15">
        <v>37940</v>
      </c>
      <c r="CA36" s="15">
        <v>0</v>
      </c>
      <c r="CB36" s="15">
        <v>227710</v>
      </c>
      <c r="CC36" s="15">
        <v>2130794</v>
      </c>
      <c r="CD36" s="15">
        <v>127849</v>
      </c>
      <c r="CE36" s="15">
        <v>0</v>
      </c>
      <c r="CF36" s="14">
        <f t="shared" si="6"/>
        <v>2258641.9375</v>
      </c>
      <c r="CG36" s="18"/>
      <c r="CH36" s="16"/>
      <c r="CI36" s="17"/>
      <c r="CJ36" s="17"/>
    </row>
    <row r="37" spans="1:88" s="13" customFormat="1" x14ac:dyDescent="0.35">
      <c r="A37" s="13">
        <v>1070975177</v>
      </c>
      <c r="B37" s="17" t="s">
        <v>95</v>
      </c>
      <c r="C37" s="17" t="s">
        <v>83</v>
      </c>
      <c r="D37" s="17" t="s">
        <v>286</v>
      </c>
      <c r="E37" s="17">
        <v>6563</v>
      </c>
      <c r="F37" s="17" t="s">
        <v>84</v>
      </c>
      <c r="G37" s="17" t="s">
        <v>85</v>
      </c>
      <c r="H37" s="17">
        <v>1070975177</v>
      </c>
      <c r="I37" s="17" t="s">
        <v>139</v>
      </c>
      <c r="J37" s="17" t="s">
        <v>94</v>
      </c>
      <c r="K37" s="17">
        <v>0</v>
      </c>
      <c r="L37" s="17">
        <v>0</v>
      </c>
      <c r="M37" s="17" t="s">
        <v>96</v>
      </c>
      <c r="N37" s="19">
        <v>45684</v>
      </c>
      <c r="O37" s="19">
        <v>45869</v>
      </c>
      <c r="P37" s="20">
        <v>1423500</v>
      </c>
      <c r="Q37" s="17">
        <v>1</v>
      </c>
      <c r="R37" s="14">
        <f t="shared" si="7"/>
        <v>47450</v>
      </c>
      <c r="S37" s="15">
        <v>6667</v>
      </c>
      <c r="T37" s="15">
        <v>3.0167000000000002</v>
      </c>
      <c r="U37" s="7">
        <f t="shared" si="8"/>
        <v>24399.275284090909</v>
      </c>
      <c r="V37" s="15">
        <v>1</v>
      </c>
      <c r="W37" s="7">
        <f t="shared" si="9"/>
        <v>11323.295454545454</v>
      </c>
      <c r="X37" s="15">
        <v>0</v>
      </c>
      <c r="Y37" s="7">
        <f t="shared" si="0"/>
        <v>0</v>
      </c>
      <c r="Z37" s="15">
        <v>0</v>
      </c>
      <c r="AA37" s="7">
        <f t="shared" si="10"/>
        <v>0</v>
      </c>
      <c r="AB37" s="15">
        <v>0</v>
      </c>
      <c r="AC37" s="14">
        <f t="shared" si="11"/>
        <v>0</v>
      </c>
      <c r="AD37" s="14">
        <f t="shared" si="1"/>
        <v>4.0167000000000002</v>
      </c>
      <c r="AE37" s="14">
        <f t="shared" si="2"/>
        <v>35722.570738636365</v>
      </c>
      <c r="AF37" s="15">
        <v>7</v>
      </c>
      <c r="AG37" s="7">
        <f t="shared" si="12"/>
        <v>81527.727272727265</v>
      </c>
      <c r="AH37" s="15">
        <v>0</v>
      </c>
      <c r="AI37" s="7">
        <f t="shared" si="13"/>
        <v>0</v>
      </c>
      <c r="AJ37" s="15">
        <v>7</v>
      </c>
      <c r="AK37" s="14">
        <f t="shared" si="14"/>
        <v>95115.681818181823</v>
      </c>
      <c r="AL37" s="15">
        <v>0</v>
      </c>
      <c r="AM37" s="7">
        <f t="shared" si="15"/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85.033299999999997</v>
      </c>
      <c r="AS37" s="7">
        <f t="shared" si="16"/>
        <v>192571.43587499997</v>
      </c>
      <c r="AT37" s="14">
        <f t="shared" si="3"/>
        <v>99.033299999999997</v>
      </c>
      <c r="AU37" s="14">
        <f t="shared" si="3"/>
        <v>369214.84496590903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-54117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48924</v>
      </c>
      <c r="BQ37" s="15">
        <v>10000</v>
      </c>
      <c r="BR37" s="14">
        <f t="shared" si="4"/>
        <v>58924</v>
      </c>
      <c r="BS37" s="15">
        <v>16400</v>
      </c>
      <c r="BT37" s="15">
        <v>0</v>
      </c>
      <c r="BU37" s="15">
        <v>0</v>
      </c>
      <c r="BV37" s="14">
        <f t="shared" si="5"/>
        <v>16400</v>
      </c>
      <c r="BW37" s="15">
        <v>33932</v>
      </c>
      <c r="BX37" s="15">
        <v>4072</v>
      </c>
      <c r="BY37" s="15">
        <v>33932</v>
      </c>
      <c r="BZ37" s="15">
        <v>17672</v>
      </c>
      <c r="CA37" s="15">
        <v>0</v>
      </c>
      <c r="CB37" s="15">
        <v>89608</v>
      </c>
      <c r="CC37" s="15">
        <v>572133</v>
      </c>
      <c r="CD37" s="16">
        <v>36592.584295454668</v>
      </c>
      <c r="CE37" s="15">
        <v>0</v>
      </c>
      <c r="CF37" s="14">
        <f t="shared" si="6"/>
        <v>606462</v>
      </c>
      <c r="CG37" s="18"/>
      <c r="CH37" s="16"/>
      <c r="CI37" s="22"/>
      <c r="CJ37" s="17"/>
    </row>
    <row r="38" spans="1:88" s="13" customFormat="1" x14ac:dyDescent="0.35">
      <c r="A38" s="13">
        <v>1110582556</v>
      </c>
      <c r="B38" s="17" t="s">
        <v>95</v>
      </c>
      <c r="C38" s="17" t="s">
        <v>83</v>
      </c>
      <c r="D38" s="17" t="s">
        <v>286</v>
      </c>
      <c r="E38" s="17">
        <v>5840</v>
      </c>
      <c r="F38" s="17" t="s">
        <v>110</v>
      </c>
      <c r="G38" s="17" t="s">
        <v>111</v>
      </c>
      <c r="H38" s="17">
        <v>1110582556</v>
      </c>
      <c r="I38" s="17" t="s">
        <v>140</v>
      </c>
      <c r="J38" s="17" t="s">
        <v>94</v>
      </c>
      <c r="K38" s="17">
        <v>0</v>
      </c>
      <c r="L38" s="17">
        <v>0</v>
      </c>
      <c r="M38" s="17" t="s">
        <v>96</v>
      </c>
      <c r="N38" s="19">
        <v>45688</v>
      </c>
      <c r="O38" s="19">
        <v>1</v>
      </c>
      <c r="P38" s="20">
        <v>782925</v>
      </c>
      <c r="Q38" s="17">
        <v>30</v>
      </c>
      <c r="R38" s="14">
        <f t="shared" si="7"/>
        <v>782925</v>
      </c>
      <c r="S38" s="15">
        <v>200000</v>
      </c>
      <c r="T38" s="15">
        <v>0</v>
      </c>
      <c r="U38" s="7">
        <f>+P38/110*T38*1.25</f>
        <v>0</v>
      </c>
      <c r="V38" s="15">
        <v>0</v>
      </c>
      <c r="W38" s="7">
        <f t="shared" si="9"/>
        <v>0</v>
      </c>
      <c r="X38" s="15">
        <v>0</v>
      </c>
      <c r="Y38" s="7">
        <f t="shared" si="0"/>
        <v>0</v>
      </c>
      <c r="Z38" s="15">
        <v>0</v>
      </c>
      <c r="AA38" s="7">
        <f t="shared" si="10"/>
        <v>0</v>
      </c>
      <c r="AB38" s="15">
        <v>0</v>
      </c>
      <c r="AC38" s="14">
        <f t="shared" si="11"/>
        <v>0</v>
      </c>
      <c r="AD38" s="14">
        <f t="shared" si="1"/>
        <v>0</v>
      </c>
      <c r="AE38" s="14">
        <f t="shared" si="2"/>
        <v>0</v>
      </c>
      <c r="AF38" s="15">
        <v>0</v>
      </c>
      <c r="AG38" s="7">
        <f>+P38/110*AF38*1.8</f>
        <v>0</v>
      </c>
      <c r="AH38" s="15">
        <v>0</v>
      </c>
      <c r="AI38" s="7">
        <f t="shared" si="13"/>
        <v>0</v>
      </c>
      <c r="AJ38" s="15">
        <v>0</v>
      </c>
      <c r="AK38" s="14">
        <f t="shared" si="14"/>
        <v>0</v>
      </c>
      <c r="AL38" s="15">
        <v>0</v>
      </c>
      <c r="AM38" s="7">
        <f t="shared" si="15"/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13.88</v>
      </c>
      <c r="AS38" s="7">
        <f>+P38/110*AR38*0.35</f>
        <v>34576.815000000002</v>
      </c>
      <c r="AT38" s="14">
        <f t="shared" si="3"/>
        <v>13.88</v>
      </c>
      <c r="AU38" s="14">
        <f t="shared" si="3"/>
        <v>34576.815000000002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195069</v>
      </c>
      <c r="BD38" s="15">
        <v>0</v>
      </c>
      <c r="BE38" s="15">
        <v>329161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170860</v>
      </c>
      <c r="BQ38" s="15">
        <v>34700</v>
      </c>
      <c r="BR38" s="14">
        <f t="shared" si="4"/>
        <v>205560</v>
      </c>
      <c r="BS38" s="15">
        <v>32800</v>
      </c>
      <c r="BT38" s="15">
        <v>0</v>
      </c>
      <c r="BU38" s="15">
        <v>0</v>
      </c>
      <c r="BV38" s="14">
        <f t="shared" si="5"/>
        <v>32800</v>
      </c>
      <c r="BW38" s="15">
        <v>84789</v>
      </c>
      <c r="BX38" s="15">
        <v>10175</v>
      </c>
      <c r="BY38" s="15">
        <v>84789</v>
      </c>
      <c r="BZ38" s="15">
        <v>35479</v>
      </c>
      <c r="CA38" s="15">
        <v>0</v>
      </c>
      <c r="CB38" s="15">
        <v>215232</v>
      </c>
      <c r="CC38" s="15">
        <v>1995325</v>
      </c>
      <c r="CD38" s="15">
        <v>119720</v>
      </c>
      <c r="CE38" s="15">
        <v>0</v>
      </c>
      <c r="CF38" s="14">
        <f t="shared" si="6"/>
        <v>2115043.8149999999</v>
      </c>
      <c r="CG38" s="18"/>
      <c r="CH38" s="16"/>
      <c r="CI38" s="17"/>
      <c r="CJ38" s="17"/>
    </row>
    <row r="39" spans="1:88" s="13" customFormat="1" x14ac:dyDescent="0.35">
      <c r="A39" s="13">
        <v>1070384300</v>
      </c>
      <c r="B39" s="17" t="s">
        <v>95</v>
      </c>
      <c r="C39" s="17" t="s">
        <v>83</v>
      </c>
      <c r="D39" s="17" t="s">
        <v>286</v>
      </c>
      <c r="E39" s="17">
        <v>6563</v>
      </c>
      <c r="F39" s="17" t="s">
        <v>84</v>
      </c>
      <c r="G39" s="17" t="s">
        <v>85</v>
      </c>
      <c r="H39" s="17">
        <v>1070384300</v>
      </c>
      <c r="I39" s="17" t="s">
        <v>141</v>
      </c>
      <c r="J39" s="17" t="s">
        <v>94</v>
      </c>
      <c r="K39" s="17">
        <v>0</v>
      </c>
      <c r="L39" s="17">
        <v>0</v>
      </c>
      <c r="M39" s="17" t="s">
        <v>96</v>
      </c>
      <c r="N39" s="19">
        <v>45694</v>
      </c>
      <c r="O39" s="19">
        <v>45841</v>
      </c>
      <c r="P39" s="20">
        <v>1423500</v>
      </c>
      <c r="Q39" s="17">
        <v>0</v>
      </c>
      <c r="R39" s="14">
        <f t="shared" si="7"/>
        <v>0</v>
      </c>
      <c r="S39" s="15">
        <v>0</v>
      </c>
      <c r="T39" s="15">
        <v>0</v>
      </c>
      <c r="U39" s="7">
        <f>+P39/230*T39*1.25</f>
        <v>0</v>
      </c>
      <c r="V39" s="15">
        <v>2</v>
      </c>
      <c r="W39" s="7">
        <f>+P39/230*V39*1.75</f>
        <v>21661.956521739132</v>
      </c>
      <c r="X39" s="15">
        <v>0</v>
      </c>
      <c r="Y39" s="7">
        <f t="shared" si="0"/>
        <v>0</v>
      </c>
      <c r="Z39" s="15">
        <v>0</v>
      </c>
      <c r="AA39" s="7">
        <f t="shared" si="10"/>
        <v>0</v>
      </c>
      <c r="AB39" s="15">
        <v>0</v>
      </c>
      <c r="AC39" s="14">
        <f t="shared" si="11"/>
        <v>0</v>
      </c>
      <c r="AD39" s="14">
        <f t="shared" si="1"/>
        <v>2</v>
      </c>
      <c r="AE39" s="14">
        <f t="shared" si="2"/>
        <v>21661.956521739132</v>
      </c>
      <c r="AF39" s="15">
        <v>0</v>
      </c>
      <c r="AG39" s="7">
        <f>+P39/230*AF39*1.8</f>
        <v>0</v>
      </c>
      <c r="AH39" s="15">
        <v>0</v>
      </c>
      <c r="AI39" s="7">
        <f t="shared" si="13"/>
        <v>0</v>
      </c>
      <c r="AJ39" s="15">
        <v>0</v>
      </c>
      <c r="AK39" s="14">
        <f>+P39/230*AJ39*2.1</f>
        <v>0</v>
      </c>
      <c r="AL39" s="15">
        <v>0</v>
      </c>
      <c r="AM39" s="7">
        <f t="shared" si="15"/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10.98</v>
      </c>
      <c r="AS39" s="7">
        <f>+P39/230*AR39*0.35</f>
        <v>23784.828260869566</v>
      </c>
      <c r="AT39" s="14">
        <f t="shared" si="3"/>
        <v>10.98</v>
      </c>
      <c r="AU39" s="14">
        <f t="shared" si="3"/>
        <v>23784.828260869566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5464</v>
      </c>
      <c r="BQ39" s="15">
        <v>1100</v>
      </c>
      <c r="BR39" s="14">
        <f t="shared" si="4"/>
        <v>6564</v>
      </c>
      <c r="BS39" s="15">
        <v>1800</v>
      </c>
      <c r="BT39" s="15">
        <v>0</v>
      </c>
      <c r="BU39" s="15">
        <v>0</v>
      </c>
      <c r="BV39" s="14">
        <f t="shared" si="5"/>
        <v>1800</v>
      </c>
      <c r="BW39" s="15">
        <v>3787</v>
      </c>
      <c r="BX39" s="15">
        <v>454</v>
      </c>
      <c r="BY39" s="15">
        <v>3787</v>
      </c>
      <c r="BZ39" s="15">
        <v>1973</v>
      </c>
      <c r="CA39" s="15">
        <v>0</v>
      </c>
      <c r="CB39" s="15">
        <v>10001</v>
      </c>
      <c r="CC39" s="15">
        <v>63812</v>
      </c>
      <c r="CD39" s="15">
        <v>3829</v>
      </c>
      <c r="CE39" s="15">
        <v>0</v>
      </c>
      <c r="CF39" s="14">
        <f t="shared" si="6"/>
        <v>67640.784782608695</v>
      </c>
      <c r="CG39" s="18"/>
      <c r="CH39" s="16"/>
      <c r="CI39" s="17"/>
      <c r="CJ39" s="17"/>
    </row>
    <row r="40" spans="1:88" s="13" customFormat="1" x14ac:dyDescent="0.35">
      <c r="A40" s="13">
        <v>1074616818</v>
      </c>
      <c r="B40" s="17" t="s">
        <v>95</v>
      </c>
      <c r="C40" s="17" t="s">
        <v>83</v>
      </c>
      <c r="D40" s="17" t="s">
        <v>286</v>
      </c>
      <c r="E40" s="17">
        <v>6563</v>
      </c>
      <c r="F40" s="17" t="s">
        <v>84</v>
      </c>
      <c r="G40" s="17" t="s">
        <v>85</v>
      </c>
      <c r="H40" s="17">
        <v>1074616818</v>
      </c>
      <c r="I40" s="17" t="s">
        <v>142</v>
      </c>
      <c r="J40" s="17" t="s">
        <v>94</v>
      </c>
      <c r="K40" s="17">
        <v>0</v>
      </c>
      <c r="L40" s="17">
        <v>0</v>
      </c>
      <c r="M40" s="17" t="s">
        <v>96</v>
      </c>
      <c r="N40" s="19">
        <v>45694</v>
      </c>
      <c r="O40" s="19">
        <v>1</v>
      </c>
      <c r="P40" s="20">
        <v>1423500</v>
      </c>
      <c r="Q40" s="17">
        <v>30</v>
      </c>
      <c r="R40" s="14">
        <f t="shared" si="7"/>
        <v>1423500</v>
      </c>
      <c r="S40" s="15">
        <v>200000</v>
      </c>
      <c r="T40" s="15">
        <v>0</v>
      </c>
      <c r="U40" s="7">
        <f t="shared" si="8"/>
        <v>0</v>
      </c>
      <c r="V40" s="15">
        <v>6</v>
      </c>
      <c r="W40" s="7">
        <f t="shared" si="9"/>
        <v>67939.772727272721</v>
      </c>
      <c r="X40" s="15">
        <v>0</v>
      </c>
      <c r="Y40" s="7">
        <f t="shared" si="0"/>
        <v>0</v>
      </c>
      <c r="Z40" s="15">
        <v>0</v>
      </c>
      <c r="AA40" s="7">
        <f t="shared" si="10"/>
        <v>0</v>
      </c>
      <c r="AB40" s="15">
        <v>0</v>
      </c>
      <c r="AC40" s="14">
        <f t="shared" si="11"/>
        <v>0</v>
      </c>
      <c r="AD40" s="14">
        <f t="shared" si="1"/>
        <v>6</v>
      </c>
      <c r="AE40" s="14">
        <f t="shared" si="2"/>
        <v>67939.772727272721</v>
      </c>
      <c r="AF40" s="15">
        <v>7</v>
      </c>
      <c r="AG40" s="7">
        <f t="shared" si="12"/>
        <v>81527.727272727265</v>
      </c>
      <c r="AH40" s="15">
        <v>0</v>
      </c>
      <c r="AI40" s="7">
        <f t="shared" si="13"/>
        <v>0</v>
      </c>
      <c r="AJ40" s="15">
        <v>3</v>
      </c>
      <c r="AK40" s="14">
        <f t="shared" si="14"/>
        <v>40763.86363636364</v>
      </c>
      <c r="AL40" s="15">
        <v>0</v>
      </c>
      <c r="AM40" s="7">
        <f t="shared" si="15"/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54.5</v>
      </c>
      <c r="AS40" s="7">
        <f t="shared" si="16"/>
        <v>123423.92045454544</v>
      </c>
      <c r="AT40" s="14">
        <f t="shared" si="3"/>
        <v>64.5</v>
      </c>
      <c r="AU40" s="14">
        <f t="shared" si="3"/>
        <v>245715.51136363635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284700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242787</v>
      </c>
      <c r="BQ40" s="15">
        <v>49300</v>
      </c>
      <c r="BR40" s="14">
        <f t="shared" si="4"/>
        <v>292087</v>
      </c>
      <c r="BS40" s="15">
        <v>81000</v>
      </c>
      <c r="BT40" s="15">
        <v>0</v>
      </c>
      <c r="BU40" s="15">
        <v>0</v>
      </c>
      <c r="BV40" s="14">
        <f t="shared" si="5"/>
        <v>81000</v>
      </c>
      <c r="BW40" s="15">
        <v>185228</v>
      </c>
      <c r="BX40" s="15">
        <v>22228</v>
      </c>
      <c r="BY40" s="15">
        <v>185228</v>
      </c>
      <c r="BZ40" s="15">
        <v>87791</v>
      </c>
      <c r="CA40" s="15">
        <v>0</v>
      </c>
      <c r="CB40" s="15">
        <v>480475</v>
      </c>
      <c r="CC40" s="15">
        <v>3076388</v>
      </c>
      <c r="CD40" s="16">
        <v>185554.71590909082</v>
      </c>
      <c r="CE40" s="15">
        <v>0</v>
      </c>
      <c r="CF40" s="14">
        <f t="shared" si="6"/>
        <v>3260972</v>
      </c>
      <c r="CG40" s="18"/>
      <c r="CH40" s="16"/>
      <c r="CI40" s="22"/>
      <c r="CJ40" s="17"/>
    </row>
    <row r="41" spans="1:88" s="13" customFormat="1" x14ac:dyDescent="0.35">
      <c r="A41" s="13">
        <v>1001043455</v>
      </c>
      <c r="B41" s="17" t="s">
        <v>95</v>
      </c>
      <c r="C41" s="17" t="s">
        <v>83</v>
      </c>
      <c r="D41" s="17" t="s">
        <v>286</v>
      </c>
      <c r="E41" s="17">
        <v>6571</v>
      </c>
      <c r="F41" s="17" t="s">
        <v>88</v>
      </c>
      <c r="G41" s="17" t="s">
        <v>89</v>
      </c>
      <c r="H41" s="17">
        <v>1001043455</v>
      </c>
      <c r="I41" s="17" t="s">
        <v>143</v>
      </c>
      <c r="J41" s="17" t="s">
        <v>94</v>
      </c>
      <c r="K41" s="17">
        <v>0</v>
      </c>
      <c r="L41" s="17">
        <v>0</v>
      </c>
      <c r="M41" s="17" t="s">
        <v>96</v>
      </c>
      <c r="N41" s="19">
        <v>45698</v>
      </c>
      <c r="O41" s="19">
        <v>1</v>
      </c>
      <c r="P41" s="20">
        <v>1423500</v>
      </c>
      <c r="Q41" s="17">
        <v>30</v>
      </c>
      <c r="R41" s="14">
        <f t="shared" si="7"/>
        <v>1423500</v>
      </c>
      <c r="S41" s="15">
        <v>200000</v>
      </c>
      <c r="T41" s="15">
        <v>2.65</v>
      </c>
      <c r="U41" s="7">
        <f t="shared" si="8"/>
        <v>21433.38068181818</v>
      </c>
      <c r="V41" s="15">
        <v>5</v>
      </c>
      <c r="W41" s="7">
        <f t="shared" si="9"/>
        <v>56616.477272727265</v>
      </c>
      <c r="X41" s="15">
        <v>0</v>
      </c>
      <c r="Y41" s="7">
        <f t="shared" si="0"/>
        <v>0</v>
      </c>
      <c r="Z41" s="15">
        <v>0</v>
      </c>
      <c r="AA41" s="7">
        <f t="shared" si="10"/>
        <v>0</v>
      </c>
      <c r="AB41" s="15">
        <v>0</v>
      </c>
      <c r="AC41" s="14">
        <f t="shared" si="11"/>
        <v>0</v>
      </c>
      <c r="AD41" s="14">
        <f t="shared" si="1"/>
        <v>7.65</v>
      </c>
      <c r="AE41" s="14">
        <f t="shared" si="2"/>
        <v>78049.857954545441</v>
      </c>
      <c r="AF41" s="15">
        <v>4.3</v>
      </c>
      <c r="AG41" s="7">
        <f t="shared" si="12"/>
        <v>50081.318181818184</v>
      </c>
      <c r="AH41" s="15">
        <v>0</v>
      </c>
      <c r="AI41" s="7">
        <f t="shared" si="13"/>
        <v>0</v>
      </c>
      <c r="AJ41" s="15">
        <v>2.1</v>
      </c>
      <c r="AK41" s="14">
        <f t="shared" si="14"/>
        <v>28534.704545454548</v>
      </c>
      <c r="AL41" s="15">
        <v>0</v>
      </c>
      <c r="AM41" s="7">
        <f t="shared" si="15"/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48</v>
      </c>
      <c r="AS41" s="7">
        <f t="shared" si="16"/>
        <v>108703.63636363635</v>
      </c>
      <c r="AT41" s="14">
        <f t="shared" si="3"/>
        <v>54.4</v>
      </c>
      <c r="AU41" s="14">
        <f t="shared" si="3"/>
        <v>187319.65909090909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70000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211218</v>
      </c>
      <c r="BQ41" s="15">
        <v>42900</v>
      </c>
      <c r="BR41" s="14">
        <f t="shared" si="4"/>
        <v>254118</v>
      </c>
      <c r="BS41" s="15">
        <v>70400</v>
      </c>
      <c r="BT41" s="15">
        <v>0</v>
      </c>
      <c r="BU41" s="15">
        <v>0</v>
      </c>
      <c r="BV41" s="14">
        <f t="shared" si="5"/>
        <v>70400</v>
      </c>
      <c r="BW41" s="15">
        <v>163289</v>
      </c>
      <c r="BX41" s="15">
        <v>19595</v>
      </c>
      <c r="BY41" s="15">
        <v>163289</v>
      </c>
      <c r="BZ41" s="15">
        <v>76364</v>
      </c>
      <c r="CA41" s="15">
        <v>0</v>
      </c>
      <c r="CB41" s="15">
        <v>422537</v>
      </c>
      <c r="CC41" s="15">
        <v>2706603</v>
      </c>
      <c r="CD41" s="16">
        <v>163077.48295454541</v>
      </c>
      <c r="CE41" s="15">
        <v>0</v>
      </c>
      <c r="CF41" s="14">
        <f t="shared" si="6"/>
        <v>2869002</v>
      </c>
      <c r="CG41" s="18"/>
      <c r="CH41" s="16"/>
      <c r="CI41" s="22"/>
      <c r="CJ41" s="17"/>
    </row>
    <row r="42" spans="1:88" s="13" customFormat="1" x14ac:dyDescent="0.35">
      <c r="A42" s="13">
        <v>1089539434</v>
      </c>
      <c r="B42" s="17" t="s">
        <v>95</v>
      </c>
      <c r="C42" s="17" t="s">
        <v>83</v>
      </c>
      <c r="D42" s="17" t="s">
        <v>286</v>
      </c>
      <c r="E42" s="17">
        <v>1980</v>
      </c>
      <c r="F42" s="17" t="s">
        <v>92</v>
      </c>
      <c r="G42" s="17" t="s">
        <v>93</v>
      </c>
      <c r="H42" s="17">
        <v>1089539434</v>
      </c>
      <c r="I42" s="17" t="s">
        <v>144</v>
      </c>
      <c r="J42" s="17" t="s">
        <v>94</v>
      </c>
      <c r="K42" s="17">
        <v>0</v>
      </c>
      <c r="L42" s="17">
        <v>0</v>
      </c>
      <c r="M42" s="17" t="s">
        <v>96</v>
      </c>
      <c r="N42" s="19">
        <v>45698</v>
      </c>
      <c r="O42" s="19">
        <v>1</v>
      </c>
      <c r="P42" s="20">
        <v>782925</v>
      </c>
      <c r="Q42" s="17">
        <v>30</v>
      </c>
      <c r="R42" s="14">
        <f t="shared" ref="R42:R99" si="17">+P42/30*Q42</f>
        <v>782925</v>
      </c>
      <c r="S42" s="15">
        <v>200000</v>
      </c>
      <c r="T42" s="15">
        <v>4.28</v>
      </c>
      <c r="U42" s="7">
        <f>+P42/110*T42*1.25</f>
        <v>38078.625</v>
      </c>
      <c r="V42" s="15">
        <v>0</v>
      </c>
      <c r="W42" s="7">
        <f t="shared" si="9"/>
        <v>0</v>
      </c>
      <c r="X42" s="15">
        <v>0</v>
      </c>
      <c r="Y42" s="7">
        <f t="shared" si="0"/>
        <v>0</v>
      </c>
      <c r="Z42" s="15">
        <v>0</v>
      </c>
      <c r="AA42" s="7">
        <f t="shared" si="10"/>
        <v>0</v>
      </c>
      <c r="AB42" s="15">
        <v>0</v>
      </c>
      <c r="AC42" s="14">
        <f t="shared" si="11"/>
        <v>0</v>
      </c>
      <c r="AD42" s="14">
        <f t="shared" ref="AD42:AD99" si="18">+T42+V42+X42+Z42+AB42</f>
        <v>4.28</v>
      </c>
      <c r="AE42" s="14">
        <f t="shared" ref="AE42:AE99" si="19">+U42+W42+Y42+AA42+AC42</f>
        <v>38078.625</v>
      </c>
      <c r="AF42" s="15">
        <v>0</v>
      </c>
      <c r="AG42" s="7">
        <f>+P42/110*AF42*1.8</f>
        <v>0</v>
      </c>
      <c r="AH42" s="15">
        <v>0</v>
      </c>
      <c r="AI42" s="7">
        <f t="shared" si="13"/>
        <v>0</v>
      </c>
      <c r="AJ42" s="15">
        <v>0</v>
      </c>
      <c r="AK42" s="14">
        <f t="shared" si="14"/>
        <v>0</v>
      </c>
      <c r="AL42" s="15">
        <v>0</v>
      </c>
      <c r="AM42" s="7">
        <f t="shared" si="15"/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5</v>
      </c>
      <c r="AS42" s="7">
        <f>+P42/110*AR42*0.35</f>
        <v>12455.625</v>
      </c>
      <c r="AT42" s="14">
        <f t="shared" ref="AT42:AU99" si="20">+AF42+AH42+AJ42+AL42+AN42+AP42+AR42</f>
        <v>5</v>
      </c>
      <c r="AU42" s="14">
        <f t="shared" si="20"/>
        <v>12455.625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260092</v>
      </c>
      <c r="BD42" s="15">
        <v>0</v>
      </c>
      <c r="BE42" s="15">
        <v>328224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170860</v>
      </c>
      <c r="BQ42" s="15">
        <v>34700</v>
      </c>
      <c r="BR42" s="14">
        <f t="shared" ref="BR42:BR99" si="21">+BO42+BP42+BQ42</f>
        <v>205560</v>
      </c>
      <c r="BS42" s="15">
        <v>33400</v>
      </c>
      <c r="BT42" s="15">
        <v>0</v>
      </c>
      <c r="BU42" s="15">
        <v>0</v>
      </c>
      <c r="BV42" s="14">
        <f t="shared" ref="BV42:BV99" si="22">+BS42+BT42+BU42</f>
        <v>33400</v>
      </c>
      <c r="BW42" s="15">
        <v>86118</v>
      </c>
      <c r="BX42" s="15">
        <v>10335</v>
      </c>
      <c r="BY42" s="15">
        <v>86118</v>
      </c>
      <c r="BZ42" s="15">
        <v>36171</v>
      </c>
      <c r="CA42" s="15">
        <v>0</v>
      </c>
      <c r="CB42" s="15">
        <v>218742</v>
      </c>
      <c r="CC42" s="15">
        <v>2079479</v>
      </c>
      <c r="CD42" s="15">
        <v>124769</v>
      </c>
      <c r="CE42" s="15">
        <v>0</v>
      </c>
      <c r="CF42" s="14">
        <f t="shared" ref="CF42:CF99" si="23">+CB42+BV42+BR42+BN42+BM42+BL42+BJ42+BI42+BH42+BF42++BG42+BE42+BD42+BC42+AZ42+AY42+AX42+AW42+AV42+AU42++AE42++S42+R42+CD42+BK42+CA42+CE42</f>
        <v>2204246.25</v>
      </c>
      <c r="CG42" s="18"/>
      <c r="CH42" s="16"/>
      <c r="CI42" s="17"/>
      <c r="CJ42" s="17"/>
    </row>
    <row r="43" spans="1:88" s="13" customFormat="1" x14ac:dyDescent="0.35">
      <c r="A43" s="13">
        <v>1098436088</v>
      </c>
      <c r="B43" s="17" t="s">
        <v>95</v>
      </c>
      <c r="C43" s="17" t="s">
        <v>83</v>
      </c>
      <c r="D43" s="17" t="s">
        <v>286</v>
      </c>
      <c r="E43" s="17">
        <v>6571</v>
      </c>
      <c r="F43" s="17" t="s">
        <v>88</v>
      </c>
      <c r="G43" s="17" t="s">
        <v>89</v>
      </c>
      <c r="H43" s="17">
        <v>1098436088</v>
      </c>
      <c r="I43" s="17" t="s">
        <v>145</v>
      </c>
      <c r="J43" s="17" t="s">
        <v>94</v>
      </c>
      <c r="K43" s="17">
        <v>0</v>
      </c>
      <c r="L43" s="17">
        <v>0</v>
      </c>
      <c r="M43" s="17" t="s">
        <v>96</v>
      </c>
      <c r="N43" s="19">
        <v>45698</v>
      </c>
      <c r="O43" s="19">
        <v>1</v>
      </c>
      <c r="P43" s="20">
        <v>1423500</v>
      </c>
      <c r="Q43" s="17">
        <v>30</v>
      </c>
      <c r="R43" s="14">
        <f t="shared" si="17"/>
        <v>1423500</v>
      </c>
      <c r="S43" s="15">
        <v>200000</v>
      </c>
      <c r="T43" s="15">
        <v>0</v>
      </c>
      <c r="U43" s="7">
        <f t="shared" si="8"/>
        <v>0</v>
      </c>
      <c r="V43" s="15">
        <v>5.95</v>
      </c>
      <c r="W43" s="7">
        <f t="shared" si="9"/>
        <v>67373.607954545456</v>
      </c>
      <c r="X43" s="15">
        <v>0</v>
      </c>
      <c r="Y43" s="7">
        <f t="shared" si="0"/>
        <v>0</v>
      </c>
      <c r="Z43" s="15">
        <v>0</v>
      </c>
      <c r="AA43" s="7">
        <f t="shared" si="10"/>
        <v>0</v>
      </c>
      <c r="AB43" s="15">
        <v>0</v>
      </c>
      <c r="AC43" s="14">
        <f t="shared" si="11"/>
        <v>0</v>
      </c>
      <c r="AD43" s="14">
        <f t="shared" si="18"/>
        <v>5.95</v>
      </c>
      <c r="AE43" s="14">
        <f t="shared" si="19"/>
        <v>67373.607954545456</v>
      </c>
      <c r="AF43" s="15">
        <v>0</v>
      </c>
      <c r="AG43" s="7">
        <f t="shared" si="12"/>
        <v>0</v>
      </c>
      <c r="AH43" s="15">
        <v>0</v>
      </c>
      <c r="AI43" s="7">
        <f t="shared" si="13"/>
        <v>0</v>
      </c>
      <c r="AJ43" s="15">
        <v>0</v>
      </c>
      <c r="AK43" s="14">
        <f t="shared" si="14"/>
        <v>0</v>
      </c>
      <c r="AL43" s="15">
        <v>0</v>
      </c>
      <c r="AM43" s="7">
        <f t="shared" si="15"/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59.77</v>
      </c>
      <c r="AS43" s="7">
        <f t="shared" si="16"/>
        <v>135358.67386363636</v>
      </c>
      <c r="AT43" s="14">
        <f t="shared" si="20"/>
        <v>59.77</v>
      </c>
      <c r="AU43" s="14">
        <f t="shared" si="20"/>
        <v>135358.67386363636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110000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208351</v>
      </c>
      <c r="BQ43" s="15">
        <v>42300</v>
      </c>
      <c r="BR43" s="14">
        <f t="shared" si="21"/>
        <v>250651</v>
      </c>
      <c r="BS43" s="15">
        <v>69500</v>
      </c>
      <c r="BT43" s="15">
        <v>0</v>
      </c>
      <c r="BU43" s="15">
        <v>0</v>
      </c>
      <c r="BV43" s="14">
        <f t="shared" si="22"/>
        <v>69500</v>
      </c>
      <c r="BW43" s="15">
        <v>161346</v>
      </c>
      <c r="BX43" s="15">
        <v>19362</v>
      </c>
      <c r="BY43" s="15">
        <v>161346</v>
      </c>
      <c r="BZ43" s="15">
        <v>75353</v>
      </c>
      <c r="CA43" s="15">
        <v>0</v>
      </c>
      <c r="CB43" s="15">
        <v>417407</v>
      </c>
      <c r="CC43" s="15">
        <v>2673791</v>
      </c>
      <c r="CD43" s="15">
        <v>160429</v>
      </c>
      <c r="CE43" s="15">
        <v>0</v>
      </c>
      <c r="CF43" s="14">
        <f t="shared" si="23"/>
        <v>2834219.2818181817</v>
      </c>
      <c r="CG43" s="18"/>
      <c r="CH43" s="16"/>
      <c r="CI43" s="17"/>
      <c r="CJ43" s="17"/>
    </row>
    <row r="44" spans="1:88" s="13" customFormat="1" x14ac:dyDescent="0.35">
      <c r="A44" s="13">
        <v>1073242269</v>
      </c>
      <c r="B44" s="17" t="s">
        <v>95</v>
      </c>
      <c r="C44" s="17" t="s">
        <v>83</v>
      </c>
      <c r="D44" s="17" t="s">
        <v>286</v>
      </c>
      <c r="E44" s="17">
        <v>6563</v>
      </c>
      <c r="F44" s="17" t="s">
        <v>84</v>
      </c>
      <c r="G44" s="17" t="s">
        <v>85</v>
      </c>
      <c r="H44" s="17">
        <v>1073242269</v>
      </c>
      <c r="I44" s="17" t="s">
        <v>146</v>
      </c>
      <c r="J44" s="17" t="s">
        <v>94</v>
      </c>
      <c r="K44" s="17">
        <v>0</v>
      </c>
      <c r="L44" s="17">
        <v>0</v>
      </c>
      <c r="M44" s="17" t="s">
        <v>96</v>
      </c>
      <c r="N44" s="19">
        <v>45702</v>
      </c>
      <c r="O44" s="19">
        <v>1</v>
      </c>
      <c r="P44" s="20">
        <v>782925</v>
      </c>
      <c r="Q44" s="17">
        <v>30</v>
      </c>
      <c r="R44" s="14">
        <f t="shared" si="17"/>
        <v>782925</v>
      </c>
      <c r="S44" s="15">
        <v>200000</v>
      </c>
      <c r="T44" s="15">
        <v>23.7</v>
      </c>
      <c r="U44" s="7">
        <f>+P44/110*T44*1.25</f>
        <v>210855.9375</v>
      </c>
      <c r="V44" s="15">
        <v>0</v>
      </c>
      <c r="W44" s="7">
        <f t="shared" si="9"/>
        <v>0</v>
      </c>
      <c r="X44" s="15">
        <v>0</v>
      </c>
      <c r="Y44" s="7">
        <f t="shared" si="0"/>
        <v>0</v>
      </c>
      <c r="Z44" s="15">
        <v>0</v>
      </c>
      <c r="AA44" s="7">
        <f t="shared" si="10"/>
        <v>0</v>
      </c>
      <c r="AB44" s="15">
        <v>0</v>
      </c>
      <c r="AC44" s="14">
        <f t="shared" si="11"/>
        <v>0</v>
      </c>
      <c r="AD44" s="14">
        <f t="shared" si="18"/>
        <v>23.7</v>
      </c>
      <c r="AE44" s="14">
        <f t="shared" si="19"/>
        <v>210855.9375</v>
      </c>
      <c r="AF44" s="15">
        <v>0</v>
      </c>
      <c r="AG44" s="7">
        <f>+P44/110*AF44*1.8</f>
        <v>0</v>
      </c>
      <c r="AH44" s="15">
        <v>0</v>
      </c>
      <c r="AI44" s="7">
        <f t="shared" si="13"/>
        <v>0</v>
      </c>
      <c r="AJ44" s="15">
        <v>0</v>
      </c>
      <c r="AK44" s="14">
        <f t="shared" si="14"/>
        <v>0</v>
      </c>
      <c r="AL44" s="15">
        <v>0</v>
      </c>
      <c r="AM44" s="7">
        <f t="shared" si="15"/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81</v>
      </c>
      <c r="AS44" s="7">
        <f>+P44/110*AR44*0.35</f>
        <v>201781.125</v>
      </c>
      <c r="AT44" s="14">
        <f t="shared" si="20"/>
        <v>81</v>
      </c>
      <c r="AU44" s="14">
        <f t="shared" si="20"/>
        <v>201781.125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197497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170860</v>
      </c>
      <c r="BQ44" s="15">
        <v>34700</v>
      </c>
      <c r="BR44" s="14">
        <f t="shared" si="21"/>
        <v>205560</v>
      </c>
      <c r="BS44" s="15">
        <v>47900</v>
      </c>
      <c r="BT44" s="15">
        <v>0</v>
      </c>
      <c r="BU44" s="15">
        <v>0</v>
      </c>
      <c r="BV44" s="14">
        <f t="shared" si="22"/>
        <v>47900</v>
      </c>
      <c r="BW44" s="15">
        <v>116292</v>
      </c>
      <c r="BX44" s="15">
        <v>13956</v>
      </c>
      <c r="BY44" s="15">
        <v>116292</v>
      </c>
      <c r="BZ44" s="15">
        <v>51887</v>
      </c>
      <c r="CA44" s="15">
        <v>0</v>
      </c>
      <c r="CB44" s="15">
        <v>298427</v>
      </c>
      <c r="CC44" s="15">
        <v>2144947</v>
      </c>
      <c r="CD44" s="15">
        <v>128696</v>
      </c>
      <c r="CE44" s="15">
        <v>0</v>
      </c>
      <c r="CF44" s="14">
        <f t="shared" si="23"/>
        <v>2273642.0625</v>
      </c>
      <c r="CG44" s="18"/>
      <c r="CH44" s="16"/>
      <c r="CI44" s="17"/>
      <c r="CJ44" s="17"/>
    </row>
    <row r="45" spans="1:88" s="13" customFormat="1" x14ac:dyDescent="0.35">
      <c r="A45" s="13">
        <v>1111760234</v>
      </c>
      <c r="B45" s="17" t="s">
        <v>95</v>
      </c>
      <c r="C45" s="17" t="s">
        <v>83</v>
      </c>
      <c r="D45" s="17" t="s">
        <v>286</v>
      </c>
      <c r="E45" s="17">
        <v>1980</v>
      </c>
      <c r="F45" s="17" t="s">
        <v>92</v>
      </c>
      <c r="G45" s="17" t="s">
        <v>93</v>
      </c>
      <c r="H45" s="17">
        <v>1111760234</v>
      </c>
      <c r="I45" s="17" t="s">
        <v>147</v>
      </c>
      <c r="J45" s="17" t="s">
        <v>94</v>
      </c>
      <c r="K45" s="17">
        <v>0</v>
      </c>
      <c r="L45" s="17">
        <v>0</v>
      </c>
      <c r="M45" s="17" t="s">
        <v>96</v>
      </c>
      <c r="N45" s="19">
        <v>45702</v>
      </c>
      <c r="O45" s="19">
        <v>45839</v>
      </c>
      <c r="P45" s="20">
        <v>1423500</v>
      </c>
      <c r="Q45" s="17">
        <v>0</v>
      </c>
      <c r="R45" s="14">
        <f t="shared" si="17"/>
        <v>0</v>
      </c>
      <c r="S45" s="15">
        <v>0</v>
      </c>
      <c r="T45" s="15">
        <v>0</v>
      </c>
      <c r="U45" s="7">
        <f>+P45/230*T45*1.25</f>
        <v>0</v>
      </c>
      <c r="V45" s="15">
        <v>1.4</v>
      </c>
      <c r="W45" s="7">
        <f>+P45/230*V45*1.75</f>
        <v>15163.369565217392</v>
      </c>
      <c r="X45" s="15">
        <v>0</v>
      </c>
      <c r="Y45" s="7">
        <f t="shared" si="0"/>
        <v>0</v>
      </c>
      <c r="Z45" s="15">
        <v>0</v>
      </c>
      <c r="AA45" s="7">
        <f t="shared" si="10"/>
        <v>0</v>
      </c>
      <c r="AB45" s="15">
        <v>0</v>
      </c>
      <c r="AC45" s="14">
        <f t="shared" si="11"/>
        <v>0</v>
      </c>
      <c r="AD45" s="14">
        <f t="shared" si="18"/>
        <v>1.4</v>
      </c>
      <c r="AE45" s="14">
        <f t="shared" si="19"/>
        <v>15163.369565217392</v>
      </c>
      <c r="AF45" s="15">
        <v>0</v>
      </c>
      <c r="AG45" s="7">
        <f>+P45/230*AF45*1.8</f>
        <v>0</v>
      </c>
      <c r="AH45" s="15">
        <v>0</v>
      </c>
      <c r="AI45" s="7">
        <f t="shared" si="13"/>
        <v>0</v>
      </c>
      <c r="AJ45" s="15">
        <v>0</v>
      </c>
      <c r="AK45" s="14">
        <f>+P45/230*AJ45*2.1</f>
        <v>0</v>
      </c>
      <c r="AL45" s="15">
        <v>0</v>
      </c>
      <c r="AM45" s="7">
        <f t="shared" si="15"/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37.6</v>
      </c>
      <c r="AS45" s="7">
        <f>+P45/230*AR45*0.35</f>
        <v>81448.956521739135</v>
      </c>
      <c r="AT45" s="14">
        <f t="shared" si="20"/>
        <v>37.6</v>
      </c>
      <c r="AU45" s="14">
        <f t="shared" si="20"/>
        <v>81448.956521739135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202871</v>
      </c>
      <c r="BD45" s="15">
        <v>0</v>
      </c>
      <c r="BE45" s="15">
        <v>256015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37754</v>
      </c>
      <c r="BQ45" s="15">
        <v>7700</v>
      </c>
      <c r="BR45" s="14">
        <f t="shared" si="21"/>
        <v>45454</v>
      </c>
      <c r="BS45" s="15">
        <v>3800</v>
      </c>
      <c r="BT45" s="15">
        <v>0</v>
      </c>
      <c r="BU45" s="15">
        <v>0</v>
      </c>
      <c r="BV45" s="14">
        <f t="shared" si="22"/>
        <v>3800</v>
      </c>
      <c r="BW45" s="15">
        <v>8050</v>
      </c>
      <c r="BX45" s="15">
        <v>966</v>
      </c>
      <c r="BY45" s="15">
        <v>8050</v>
      </c>
      <c r="BZ45" s="15">
        <v>4192</v>
      </c>
      <c r="CA45" s="15">
        <v>0</v>
      </c>
      <c r="CB45" s="15">
        <v>21258</v>
      </c>
      <c r="CC45" s="15">
        <v>626010</v>
      </c>
      <c r="CD45" s="15">
        <v>37560</v>
      </c>
      <c r="CE45" s="15">
        <v>0</v>
      </c>
      <c r="CF45" s="14">
        <f t="shared" si="23"/>
        <v>663570.32608695654</v>
      </c>
      <c r="CG45" s="18"/>
      <c r="CH45" s="16"/>
      <c r="CI45" s="15"/>
      <c r="CJ45" s="15"/>
    </row>
    <row r="46" spans="1:88" s="13" customFormat="1" x14ac:dyDescent="0.35">
      <c r="A46" s="13">
        <v>1073326908</v>
      </c>
      <c r="B46" s="17" t="s">
        <v>95</v>
      </c>
      <c r="C46" s="17" t="s">
        <v>83</v>
      </c>
      <c r="D46" s="17" t="s">
        <v>286</v>
      </c>
      <c r="E46" s="17">
        <v>6563</v>
      </c>
      <c r="F46" s="17" t="s">
        <v>84</v>
      </c>
      <c r="G46" s="17" t="s">
        <v>85</v>
      </c>
      <c r="H46" s="17">
        <v>1073326908</v>
      </c>
      <c r="I46" s="17" t="s">
        <v>148</v>
      </c>
      <c r="J46" s="17" t="s">
        <v>94</v>
      </c>
      <c r="K46" s="17">
        <v>0</v>
      </c>
      <c r="L46" s="17">
        <v>0</v>
      </c>
      <c r="M46" s="17" t="s">
        <v>96</v>
      </c>
      <c r="N46" s="19">
        <v>45706</v>
      </c>
      <c r="O46" s="19">
        <v>45869</v>
      </c>
      <c r="P46" s="20">
        <v>1423500</v>
      </c>
      <c r="Q46" s="17">
        <v>1</v>
      </c>
      <c r="R46" s="14">
        <f t="shared" si="17"/>
        <v>47450</v>
      </c>
      <c r="S46" s="15">
        <v>6667</v>
      </c>
      <c r="T46" s="15">
        <v>3.0167000000000002</v>
      </c>
      <c r="U46" s="7">
        <f t="shared" si="8"/>
        <v>24399.275284090909</v>
      </c>
      <c r="V46" s="15">
        <v>4.8666999999999998</v>
      </c>
      <c r="W46" s="7">
        <f t="shared" si="9"/>
        <v>55107.081988636353</v>
      </c>
      <c r="X46" s="15">
        <v>0</v>
      </c>
      <c r="Y46" s="7">
        <f t="shared" si="0"/>
        <v>0</v>
      </c>
      <c r="Z46" s="15">
        <v>0</v>
      </c>
      <c r="AA46" s="7">
        <f t="shared" si="10"/>
        <v>0</v>
      </c>
      <c r="AB46" s="15">
        <v>0</v>
      </c>
      <c r="AC46" s="14">
        <f t="shared" si="11"/>
        <v>0</v>
      </c>
      <c r="AD46" s="14">
        <f t="shared" si="18"/>
        <v>7.8834</v>
      </c>
      <c r="AE46" s="14">
        <f t="shared" si="19"/>
        <v>79506.357272727269</v>
      </c>
      <c r="AF46" s="15">
        <v>21.87</v>
      </c>
      <c r="AG46" s="7">
        <f t="shared" si="12"/>
        <v>254715.91363636364</v>
      </c>
      <c r="AH46" s="15">
        <v>0</v>
      </c>
      <c r="AI46" s="7">
        <f t="shared" si="13"/>
        <v>0</v>
      </c>
      <c r="AJ46" s="15">
        <v>7</v>
      </c>
      <c r="AK46" s="14">
        <f t="shared" si="14"/>
        <v>95115.681818181823</v>
      </c>
      <c r="AL46" s="15">
        <v>0</v>
      </c>
      <c r="AM46" s="7">
        <f t="shared" si="15"/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90.616600000000005</v>
      </c>
      <c r="AS46" s="7">
        <f t="shared" si="16"/>
        <v>205215.7069772727</v>
      </c>
      <c r="AT46" s="14">
        <f t="shared" si="20"/>
        <v>119.48660000000001</v>
      </c>
      <c r="AU46" s="14">
        <f t="shared" si="20"/>
        <v>555047.3024318181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-54117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76454</v>
      </c>
      <c r="BQ46" s="15">
        <v>15600</v>
      </c>
      <c r="BR46" s="14">
        <f t="shared" si="21"/>
        <v>92054</v>
      </c>
      <c r="BS46" s="15">
        <v>25500</v>
      </c>
      <c r="BT46" s="15">
        <v>0</v>
      </c>
      <c r="BU46" s="15">
        <v>0</v>
      </c>
      <c r="BV46" s="14">
        <f t="shared" si="22"/>
        <v>25500</v>
      </c>
      <c r="BW46" s="15">
        <v>53066</v>
      </c>
      <c r="BX46" s="15">
        <v>6368</v>
      </c>
      <c r="BY46" s="15">
        <v>53066</v>
      </c>
      <c r="BZ46" s="15">
        <v>27638</v>
      </c>
      <c r="CA46" s="15">
        <v>0</v>
      </c>
      <c r="CB46" s="15">
        <v>140138</v>
      </c>
      <c r="CC46" s="15">
        <v>894510</v>
      </c>
      <c r="CD46" s="16">
        <v>55935.340295454604</v>
      </c>
      <c r="CE46" s="15">
        <v>0</v>
      </c>
      <c r="CF46" s="14">
        <f t="shared" si="23"/>
        <v>948181</v>
      </c>
      <c r="CG46" s="18"/>
      <c r="CH46" s="16"/>
      <c r="CI46" s="22"/>
      <c r="CJ46" s="17"/>
    </row>
    <row r="47" spans="1:88" s="13" customFormat="1" x14ac:dyDescent="0.35">
      <c r="A47" s="13">
        <v>1000787575</v>
      </c>
      <c r="B47" s="17" t="s">
        <v>95</v>
      </c>
      <c r="C47" s="17" t="s">
        <v>83</v>
      </c>
      <c r="D47" s="17" t="s">
        <v>286</v>
      </c>
      <c r="E47" s="17">
        <v>6571</v>
      </c>
      <c r="F47" s="17" t="s">
        <v>88</v>
      </c>
      <c r="G47" s="17" t="s">
        <v>89</v>
      </c>
      <c r="H47" s="17">
        <v>1000787575</v>
      </c>
      <c r="I47" s="17" t="s">
        <v>149</v>
      </c>
      <c r="J47" s="17" t="s">
        <v>94</v>
      </c>
      <c r="K47" s="17">
        <v>0</v>
      </c>
      <c r="L47" s="17">
        <v>0</v>
      </c>
      <c r="M47" s="17" t="s">
        <v>96</v>
      </c>
      <c r="N47" s="19">
        <v>45750</v>
      </c>
      <c r="O47" s="19">
        <v>1</v>
      </c>
      <c r="P47" s="20">
        <v>782925</v>
      </c>
      <c r="Q47" s="17">
        <v>30</v>
      </c>
      <c r="R47" s="14">
        <f t="shared" si="17"/>
        <v>782925</v>
      </c>
      <c r="S47" s="15">
        <v>200000</v>
      </c>
      <c r="T47" s="15">
        <v>0</v>
      </c>
      <c r="U47" s="7">
        <f>+P47/110*T47*1.25</f>
        <v>0</v>
      </c>
      <c r="V47" s="15">
        <v>1.98</v>
      </c>
      <c r="W47" s="7">
        <f>+P47/110*V47*1.75</f>
        <v>24662.137500000001</v>
      </c>
      <c r="X47" s="15">
        <v>0</v>
      </c>
      <c r="Y47" s="7">
        <f t="shared" si="0"/>
        <v>0</v>
      </c>
      <c r="Z47" s="15">
        <v>0</v>
      </c>
      <c r="AA47" s="7">
        <f t="shared" si="10"/>
        <v>0</v>
      </c>
      <c r="AB47" s="15">
        <v>0</v>
      </c>
      <c r="AC47" s="14">
        <f t="shared" si="11"/>
        <v>0</v>
      </c>
      <c r="AD47" s="14">
        <f t="shared" si="18"/>
        <v>1.98</v>
      </c>
      <c r="AE47" s="14">
        <f t="shared" si="19"/>
        <v>24662.137500000001</v>
      </c>
      <c r="AF47" s="15">
        <v>0</v>
      </c>
      <c r="AG47" s="7">
        <f>+P47/110*AF47*1.8</f>
        <v>0</v>
      </c>
      <c r="AH47" s="15">
        <v>0</v>
      </c>
      <c r="AI47" s="7">
        <f t="shared" si="13"/>
        <v>0</v>
      </c>
      <c r="AJ47" s="15">
        <v>0</v>
      </c>
      <c r="AK47" s="14">
        <f t="shared" si="14"/>
        <v>0</v>
      </c>
      <c r="AL47" s="15">
        <v>0</v>
      </c>
      <c r="AM47" s="7">
        <f t="shared" si="15"/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40.020000000000003</v>
      </c>
      <c r="AS47" s="7">
        <f>+P47/110*AR47*0.35</f>
        <v>99694.822500000009</v>
      </c>
      <c r="AT47" s="14">
        <f t="shared" si="20"/>
        <v>40.020000000000003</v>
      </c>
      <c r="AU47" s="14">
        <f t="shared" si="20"/>
        <v>99694.822500000009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110000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170860</v>
      </c>
      <c r="BQ47" s="15">
        <v>34700</v>
      </c>
      <c r="BR47" s="14">
        <f t="shared" si="21"/>
        <v>205560</v>
      </c>
      <c r="BS47" s="15">
        <v>40700</v>
      </c>
      <c r="BT47" s="15">
        <v>0</v>
      </c>
      <c r="BU47" s="15">
        <v>0</v>
      </c>
      <c r="BV47" s="14">
        <f t="shared" si="22"/>
        <v>40700</v>
      </c>
      <c r="BW47" s="15">
        <v>101436</v>
      </c>
      <c r="BX47" s="15">
        <v>12173</v>
      </c>
      <c r="BY47" s="15">
        <v>101436</v>
      </c>
      <c r="BZ47" s="15">
        <v>44150</v>
      </c>
      <c r="CA47" s="15">
        <v>0</v>
      </c>
      <c r="CB47" s="15">
        <v>259195</v>
      </c>
      <c r="CC47" s="15">
        <v>1722738</v>
      </c>
      <c r="CD47" s="15">
        <v>103365</v>
      </c>
      <c r="CE47" s="15">
        <v>0</v>
      </c>
      <c r="CF47" s="14">
        <f t="shared" si="23"/>
        <v>1826101.96</v>
      </c>
      <c r="CG47" s="18"/>
      <c r="CH47" s="16"/>
      <c r="CI47" s="15"/>
      <c r="CJ47" s="15"/>
    </row>
    <row r="48" spans="1:88" s="13" customFormat="1" x14ac:dyDescent="0.35">
      <c r="A48" s="13">
        <v>1022369162</v>
      </c>
      <c r="B48" s="17" t="s">
        <v>95</v>
      </c>
      <c r="C48" s="17" t="s">
        <v>83</v>
      </c>
      <c r="D48" s="17" t="s">
        <v>286</v>
      </c>
      <c r="E48" s="17">
        <v>6571</v>
      </c>
      <c r="F48" s="17" t="s">
        <v>88</v>
      </c>
      <c r="G48" s="17" t="s">
        <v>89</v>
      </c>
      <c r="H48" s="17">
        <v>1022369162</v>
      </c>
      <c r="I48" s="17" t="s">
        <v>150</v>
      </c>
      <c r="J48" s="17" t="s">
        <v>94</v>
      </c>
      <c r="K48" s="17">
        <v>0</v>
      </c>
      <c r="L48" s="17">
        <v>0</v>
      </c>
      <c r="M48" s="17" t="s">
        <v>96</v>
      </c>
      <c r="N48" s="19">
        <v>45709</v>
      </c>
      <c r="O48" s="19">
        <v>1</v>
      </c>
      <c r="P48" s="20">
        <v>1423500</v>
      </c>
      <c r="Q48" s="17">
        <v>30</v>
      </c>
      <c r="R48" s="14">
        <f t="shared" si="17"/>
        <v>1423500</v>
      </c>
      <c r="S48" s="15">
        <v>200000</v>
      </c>
      <c r="T48" s="15">
        <v>0</v>
      </c>
      <c r="U48" s="7">
        <f t="shared" si="8"/>
        <v>0</v>
      </c>
      <c r="V48" s="15">
        <v>5.12</v>
      </c>
      <c r="W48" s="7">
        <f t="shared" si="9"/>
        <v>57975.272727272728</v>
      </c>
      <c r="X48" s="15">
        <v>0</v>
      </c>
      <c r="Y48" s="7">
        <f t="shared" si="0"/>
        <v>0</v>
      </c>
      <c r="Z48" s="15">
        <v>0</v>
      </c>
      <c r="AA48" s="7">
        <f t="shared" si="10"/>
        <v>0</v>
      </c>
      <c r="AB48" s="15">
        <v>0</v>
      </c>
      <c r="AC48" s="14">
        <f t="shared" si="11"/>
        <v>0</v>
      </c>
      <c r="AD48" s="14">
        <f t="shared" si="18"/>
        <v>5.12</v>
      </c>
      <c r="AE48" s="14">
        <f t="shared" si="19"/>
        <v>57975.272727272728</v>
      </c>
      <c r="AF48" s="15">
        <v>2</v>
      </c>
      <c r="AG48" s="7">
        <f t="shared" si="12"/>
        <v>23293.636363636364</v>
      </c>
      <c r="AH48" s="15">
        <v>0</v>
      </c>
      <c r="AI48" s="7">
        <f t="shared" si="13"/>
        <v>0</v>
      </c>
      <c r="AJ48" s="15">
        <v>2</v>
      </c>
      <c r="AK48" s="14">
        <f t="shared" si="14"/>
        <v>27175.909090909092</v>
      </c>
      <c r="AL48" s="15">
        <v>0</v>
      </c>
      <c r="AM48" s="7">
        <f t="shared" si="15"/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53.1</v>
      </c>
      <c r="AS48" s="7">
        <f t="shared" si="16"/>
        <v>120253.39772727272</v>
      </c>
      <c r="AT48" s="14">
        <f t="shared" si="20"/>
        <v>57.1</v>
      </c>
      <c r="AU48" s="14">
        <f t="shared" si="20"/>
        <v>170722.94318181818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110000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211586</v>
      </c>
      <c r="BQ48" s="15">
        <v>43000</v>
      </c>
      <c r="BR48" s="14">
        <f t="shared" si="21"/>
        <v>254586</v>
      </c>
      <c r="BS48" s="15">
        <v>70600</v>
      </c>
      <c r="BT48" s="15">
        <v>0</v>
      </c>
      <c r="BU48" s="15">
        <v>0</v>
      </c>
      <c r="BV48" s="14">
        <f t="shared" si="22"/>
        <v>70600</v>
      </c>
      <c r="BW48" s="15">
        <v>163564</v>
      </c>
      <c r="BX48" s="15">
        <v>19628</v>
      </c>
      <c r="BY48" s="15">
        <v>163564</v>
      </c>
      <c r="BZ48" s="15">
        <v>76508</v>
      </c>
      <c r="CA48" s="15">
        <v>0</v>
      </c>
      <c r="CB48" s="15">
        <v>423264</v>
      </c>
      <c r="CC48" s="15">
        <v>2711295</v>
      </c>
      <c r="CD48" s="16">
        <v>163325.78409090918</v>
      </c>
      <c r="CE48" s="15">
        <v>0</v>
      </c>
      <c r="CF48" s="14">
        <f t="shared" si="23"/>
        <v>2873974</v>
      </c>
      <c r="CG48" s="18"/>
      <c r="CH48" s="16"/>
      <c r="CI48" s="22"/>
      <c r="CJ48" s="17"/>
    </row>
    <row r="49" spans="1:88" s="13" customFormat="1" x14ac:dyDescent="0.35">
      <c r="A49" s="13">
        <v>1129533336</v>
      </c>
      <c r="B49" s="17" t="s">
        <v>95</v>
      </c>
      <c r="C49" s="17" t="s">
        <v>83</v>
      </c>
      <c r="D49" s="17" t="s">
        <v>286</v>
      </c>
      <c r="E49" s="17">
        <v>6563</v>
      </c>
      <c r="F49" s="17" t="s">
        <v>84</v>
      </c>
      <c r="G49" s="17" t="s">
        <v>85</v>
      </c>
      <c r="H49" s="17">
        <v>1129533336</v>
      </c>
      <c r="I49" s="17" t="s">
        <v>151</v>
      </c>
      <c r="J49" s="17" t="s">
        <v>94</v>
      </c>
      <c r="K49" s="17">
        <v>0</v>
      </c>
      <c r="L49" s="17">
        <v>0</v>
      </c>
      <c r="M49" s="17" t="s">
        <v>96</v>
      </c>
      <c r="N49" s="19">
        <v>45714</v>
      </c>
      <c r="O49" s="19">
        <v>45838</v>
      </c>
      <c r="P49" s="20">
        <v>1423500</v>
      </c>
      <c r="Q49" s="17">
        <v>0</v>
      </c>
      <c r="R49" s="14">
        <f t="shared" si="17"/>
        <v>0</v>
      </c>
      <c r="S49" s="15">
        <v>0</v>
      </c>
      <c r="T49" s="15">
        <v>3</v>
      </c>
      <c r="U49" s="7">
        <f>+P49/230*T49*1.25</f>
        <v>23209.239130434784</v>
      </c>
      <c r="V49" s="15">
        <v>3</v>
      </c>
      <c r="W49" s="7">
        <f>+P49/230*V49*1.75</f>
        <v>32492.9347826087</v>
      </c>
      <c r="X49" s="15">
        <v>0</v>
      </c>
      <c r="Y49" s="7">
        <f t="shared" si="0"/>
        <v>0</v>
      </c>
      <c r="Z49" s="15">
        <v>0</v>
      </c>
      <c r="AA49" s="7">
        <f t="shared" si="10"/>
        <v>0</v>
      </c>
      <c r="AB49" s="15">
        <v>0</v>
      </c>
      <c r="AC49" s="14">
        <f t="shared" si="11"/>
        <v>0</v>
      </c>
      <c r="AD49" s="14">
        <f t="shared" si="18"/>
        <v>6</v>
      </c>
      <c r="AE49" s="14">
        <f t="shared" si="19"/>
        <v>55702.173913043487</v>
      </c>
      <c r="AF49" s="15">
        <v>21.98</v>
      </c>
      <c r="AG49" s="7">
        <f>+P49/230*AF49*1.75</f>
        <v>238064.90217391308</v>
      </c>
      <c r="AH49" s="15">
        <v>0</v>
      </c>
      <c r="AI49" s="7">
        <f t="shared" si="13"/>
        <v>0</v>
      </c>
      <c r="AJ49" s="15">
        <v>3.98</v>
      </c>
      <c r="AK49" s="14">
        <f>+P49/230*AJ49*2.1</f>
        <v>51728.752173913046</v>
      </c>
      <c r="AL49" s="15">
        <v>0</v>
      </c>
      <c r="AM49" s="7">
        <f t="shared" si="15"/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51.9</v>
      </c>
      <c r="AS49" s="7">
        <f>+P49/230*AR49*0.35</f>
        <v>112425.55434782608</v>
      </c>
      <c r="AT49" s="14">
        <f t="shared" si="20"/>
        <v>77.86</v>
      </c>
      <c r="AU49" s="14">
        <f t="shared" si="20"/>
        <v>402219.2086956522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49362</v>
      </c>
      <c r="BQ49" s="15">
        <v>10000</v>
      </c>
      <c r="BR49" s="14">
        <f t="shared" si="21"/>
        <v>59362</v>
      </c>
      <c r="BS49" s="15">
        <v>18400</v>
      </c>
      <c r="BT49" s="15">
        <v>0</v>
      </c>
      <c r="BU49" s="15">
        <v>0</v>
      </c>
      <c r="BV49" s="14">
        <f t="shared" si="22"/>
        <v>18400</v>
      </c>
      <c r="BW49" s="15">
        <v>38159</v>
      </c>
      <c r="BX49" s="15">
        <v>4579</v>
      </c>
      <c r="BY49" s="15">
        <v>38159</v>
      </c>
      <c r="BZ49" s="15">
        <v>19873</v>
      </c>
      <c r="CA49" s="15">
        <v>0</v>
      </c>
      <c r="CB49" s="15">
        <v>100770</v>
      </c>
      <c r="CC49" s="15">
        <v>636454</v>
      </c>
      <c r="CD49" s="15">
        <v>38191</v>
      </c>
      <c r="CE49" s="15">
        <v>0</v>
      </c>
      <c r="CF49" s="14">
        <f t="shared" si="23"/>
        <v>674644.38260869565</v>
      </c>
      <c r="CG49" s="18"/>
      <c r="CH49" s="16"/>
      <c r="CI49" s="17"/>
      <c r="CJ49" s="17"/>
    </row>
    <row r="50" spans="1:88" s="13" customFormat="1" x14ac:dyDescent="0.35">
      <c r="A50" s="13">
        <v>1114490010</v>
      </c>
      <c r="B50" s="17" t="s">
        <v>95</v>
      </c>
      <c r="C50" s="17" t="s">
        <v>83</v>
      </c>
      <c r="D50" s="17" t="s">
        <v>286</v>
      </c>
      <c r="E50" s="17">
        <v>1980</v>
      </c>
      <c r="F50" s="17" t="s">
        <v>92</v>
      </c>
      <c r="G50" s="17" t="s">
        <v>93</v>
      </c>
      <c r="H50" s="17">
        <v>1114490010</v>
      </c>
      <c r="I50" s="17" t="s">
        <v>152</v>
      </c>
      <c r="J50" s="17" t="s">
        <v>94</v>
      </c>
      <c r="K50" s="17">
        <v>0</v>
      </c>
      <c r="L50" s="17">
        <v>0</v>
      </c>
      <c r="M50" s="17" t="s">
        <v>96</v>
      </c>
      <c r="N50" s="19">
        <v>45715</v>
      </c>
      <c r="O50" s="19">
        <v>1</v>
      </c>
      <c r="P50" s="20">
        <v>1423500</v>
      </c>
      <c r="Q50" s="21">
        <v>23.25</v>
      </c>
      <c r="R50" s="14">
        <f t="shared" si="17"/>
        <v>1103212.5</v>
      </c>
      <c r="S50" s="15">
        <v>200000</v>
      </c>
      <c r="T50" s="15">
        <v>2.08</v>
      </c>
      <c r="U50" s="7">
        <f>+P50/110*T50*1.25</f>
        <v>33646.363636363632</v>
      </c>
      <c r="V50" s="15">
        <v>0</v>
      </c>
      <c r="W50" s="7">
        <f t="shared" si="9"/>
        <v>0</v>
      </c>
      <c r="X50" s="15">
        <v>0</v>
      </c>
      <c r="Y50" s="7">
        <f t="shared" si="0"/>
        <v>0</v>
      </c>
      <c r="Z50" s="15">
        <v>0</v>
      </c>
      <c r="AA50" s="7">
        <f t="shared" si="10"/>
        <v>0</v>
      </c>
      <c r="AB50" s="15">
        <v>0</v>
      </c>
      <c r="AC50" s="14">
        <f t="shared" si="11"/>
        <v>0</v>
      </c>
      <c r="AD50" s="14">
        <f t="shared" si="18"/>
        <v>2.08</v>
      </c>
      <c r="AE50" s="14">
        <f t="shared" si="19"/>
        <v>33646.363636363632</v>
      </c>
      <c r="AF50" s="15">
        <v>0</v>
      </c>
      <c r="AG50" s="7">
        <f t="shared" si="12"/>
        <v>0</v>
      </c>
      <c r="AH50" s="15">
        <v>0</v>
      </c>
      <c r="AI50" s="7">
        <f t="shared" si="13"/>
        <v>0</v>
      </c>
      <c r="AJ50" s="15">
        <v>0</v>
      </c>
      <c r="AK50" s="14">
        <f t="shared" si="14"/>
        <v>0</v>
      </c>
      <c r="AL50" s="15">
        <v>0</v>
      </c>
      <c r="AM50" s="7">
        <f t="shared" si="15"/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3</v>
      </c>
      <c r="AS50" s="7">
        <f>+P50/110*AR50*0.35</f>
        <v>13587.954545454544</v>
      </c>
      <c r="AT50" s="14">
        <f t="shared" si="20"/>
        <v>3</v>
      </c>
      <c r="AU50" s="14">
        <f t="shared" si="20"/>
        <v>13587.954545454544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199404</v>
      </c>
      <c r="BD50" s="15">
        <v>0</v>
      </c>
      <c r="BE50" s="15">
        <v>251639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170860</v>
      </c>
      <c r="BQ50" s="15">
        <v>34700</v>
      </c>
      <c r="BR50" s="14">
        <f t="shared" si="21"/>
        <v>205560</v>
      </c>
      <c r="BS50" s="15">
        <v>46100</v>
      </c>
      <c r="BT50" s="15">
        <v>0</v>
      </c>
      <c r="BU50" s="15">
        <v>0</v>
      </c>
      <c r="BV50" s="14">
        <f t="shared" si="22"/>
        <v>46100</v>
      </c>
      <c r="BW50" s="15">
        <v>112533</v>
      </c>
      <c r="BX50" s="15">
        <v>13504</v>
      </c>
      <c r="BY50" s="15">
        <v>112533</v>
      </c>
      <c r="BZ50" s="15">
        <v>199516</v>
      </c>
      <c r="CA50" s="15">
        <v>0</v>
      </c>
      <c r="CB50" s="15">
        <v>438086</v>
      </c>
      <c r="CC50" s="15">
        <v>2491236</v>
      </c>
      <c r="CD50" s="15">
        <v>149473</v>
      </c>
      <c r="CE50" s="15">
        <v>0</v>
      </c>
      <c r="CF50" s="14">
        <f t="shared" si="23"/>
        <v>2640708.8181818184</v>
      </c>
      <c r="CG50" s="18"/>
      <c r="CH50" s="16"/>
      <c r="CI50" s="17"/>
      <c r="CJ50" s="17"/>
    </row>
    <row r="51" spans="1:88" s="13" customFormat="1" x14ac:dyDescent="0.35">
      <c r="A51" s="13">
        <v>1003566187</v>
      </c>
      <c r="B51" s="17" t="s">
        <v>95</v>
      </c>
      <c r="C51" s="17" t="s">
        <v>83</v>
      </c>
      <c r="D51" s="17" t="s">
        <v>286</v>
      </c>
      <c r="E51" s="17">
        <v>6563</v>
      </c>
      <c r="F51" s="17" t="s">
        <v>84</v>
      </c>
      <c r="G51" s="17" t="s">
        <v>85</v>
      </c>
      <c r="H51" s="17">
        <v>1003566187</v>
      </c>
      <c r="I51" s="17" t="s">
        <v>153</v>
      </c>
      <c r="J51" s="17" t="s">
        <v>94</v>
      </c>
      <c r="K51" s="17">
        <v>0</v>
      </c>
      <c r="L51" s="17">
        <v>0</v>
      </c>
      <c r="M51" s="17" t="s">
        <v>96</v>
      </c>
      <c r="N51" s="19">
        <v>45720</v>
      </c>
      <c r="O51" s="19">
        <v>45869</v>
      </c>
      <c r="P51" s="20">
        <v>1423500</v>
      </c>
      <c r="Q51" s="17">
        <v>1</v>
      </c>
      <c r="R51" s="14">
        <f t="shared" si="17"/>
        <v>47450</v>
      </c>
      <c r="S51" s="15">
        <v>6667</v>
      </c>
      <c r="T51" s="15">
        <v>2</v>
      </c>
      <c r="U51" s="7">
        <f t="shared" si="8"/>
        <v>16176.136363636362</v>
      </c>
      <c r="V51" s="15">
        <v>8.0334000000000003</v>
      </c>
      <c r="W51" s="7">
        <f t="shared" si="9"/>
        <v>90964.561704545456</v>
      </c>
      <c r="X51" s="15">
        <v>0</v>
      </c>
      <c r="Y51" s="7">
        <f t="shared" si="0"/>
        <v>0</v>
      </c>
      <c r="Z51" s="15">
        <v>2</v>
      </c>
      <c r="AA51" s="7">
        <f t="shared" si="10"/>
        <v>32352.272727272724</v>
      </c>
      <c r="AB51" s="15">
        <v>0</v>
      </c>
      <c r="AC51" s="14">
        <f t="shared" si="11"/>
        <v>0</v>
      </c>
      <c r="AD51" s="14">
        <f t="shared" si="18"/>
        <v>12.0334</v>
      </c>
      <c r="AE51" s="14">
        <f t="shared" si="19"/>
        <v>139492.97079545454</v>
      </c>
      <c r="AF51" s="15">
        <v>19.5</v>
      </c>
      <c r="AG51" s="7">
        <f t="shared" si="12"/>
        <v>227112.95454545453</v>
      </c>
      <c r="AH51" s="15">
        <v>0</v>
      </c>
      <c r="AI51" s="7">
        <f t="shared" si="13"/>
        <v>0</v>
      </c>
      <c r="AJ51" s="15">
        <v>6.5</v>
      </c>
      <c r="AK51" s="14">
        <f t="shared" si="14"/>
        <v>88321.704545454544</v>
      </c>
      <c r="AL51" s="15">
        <v>0</v>
      </c>
      <c r="AM51" s="7">
        <f t="shared" si="15"/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59.4666</v>
      </c>
      <c r="AS51" s="7">
        <f t="shared" si="16"/>
        <v>134671.57629545452</v>
      </c>
      <c r="AT51" s="14">
        <f t="shared" si="20"/>
        <v>85.4666</v>
      </c>
      <c r="AU51" s="14">
        <f t="shared" si="20"/>
        <v>450106.23538636358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-54117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71112</v>
      </c>
      <c r="BQ51" s="15">
        <v>14500</v>
      </c>
      <c r="BR51" s="14">
        <f t="shared" si="21"/>
        <v>85612</v>
      </c>
      <c r="BS51" s="15">
        <v>23700</v>
      </c>
      <c r="BT51" s="15">
        <v>0</v>
      </c>
      <c r="BU51" s="15">
        <v>0</v>
      </c>
      <c r="BV51" s="14">
        <f t="shared" si="22"/>
        <v>23700</v>
      </c>
      <c r="BW51" s="15">
        <v>49361</v>
      </c>
      <c r="BX51" s="15">
        <v>5924</v>
      </c>
      <c r="BY51" s="15">
        <v>49361</v>
      </c>
      <c r="BZ51" s="15">
        <v>25708</v>
      </c>
      <c r="CA51" s="15">
        <v>0</v>
      </c>
      <c r="CB51" s="15">
        <v>130354</v>
      </c>
      <c r="CC51" s="15">
        <v>832016</v>
      </c>
      <c r="CD51" s="16">
        <v>52671.793818181846</v>
      </c>
      <c r="CE51" s="15">
        <v>0</v>
      </c>
      <c r="CF51" s="14">
        <f t="shared" si="23"/>
        <v>881937</v>
      </c>
      <c r="CG51" s="18"/>
      <c r="CH51" s="16"/>
      <c r="CI51" s="22"/>
      <c r="CJ51" s="17"/>
    </row>
    <row r="52" spans="1:88" s="13" customFormat="1" x14ac:dyDescent="0.35">
      <c r="A52" s="13">
        <v>1003641572</v>
      </c>
      <c r="B52" s="17" t="s">
        <v>95</v>
      </c>
      <c r="C52" s="17" t="s">
        <v>83</v>
      </c>
      <c r="D52" s="17" t="s">
        <v>286</v>
      </c>
      <c r="E52" s="17">
        <v>6571</v>
      </c>
      <c r="F52" s="17" t="s">
        <v>88</v>
      </c>
      <c r="G52" s="17" t="s">
        <v>89</v>
      </c>
      <c r="H52" s="17">
        <v>1003641572</v>
      </c>
      <c r="I52" s="17" t="s">
        <v>154</v>
      </c>
      <c r="J52" s="17" t="s">
        <v>94</v>
      </c>
      <c r="K52" s="17">
        <v>0</v>
      </c>
      <c r="L52" s="17">
        <v>0</v>
      </c>
      <c r="M52" s="17" t="s">
        <v>96</v>
      </c>
      <c r="N52" s="19">
        <v>45723</v>
      </c>
      <c r="O52" s="19">
        <v>1</v>
      </c>
      <c r="P52" s="20">
        <v>1423500</v>
      </c>
      <c r="Q52" s="17">
        <v>6</v>
      </c>
      <c r="R52" s="14">
        <f t="shared" si="17"/>
        <v>284700</v>
      </c>
      <c r="S52" s="15">
        <v>40000</v>
      </c>
      <c r="T52" s="15">
        <v>0</v>
      </c>
      <c r="U52" s="7">
        <f t="shared" si="8"/>
        <v>0</v>
      </c>
      <c r="V52" s="15">
        <v>0</v>
      </c>
      <c r="W52" s="7">
        <f t="shared" si="9"/>
        <v>0</v>
      </c>
      <c r="X52" s="15">
        <v>0</v>
      </c>
      <c r="Y52" s="7">
        <f t="shared" si="0"/>
        <v>0</v>
      </c>
      <c r="Z52" s="15">
        <v>0</v>
      </c>
      <c r="AA52" s="7">
        <f t="shared" si="10"/>
        <v>0</v>
      </c>
      <c r="AB52" s="15">
        <v>0</v>
      </c>
      <c r="AC52" s="14">
        <f t="shared" si="11"/>
        <v>0</v>
      </c>
      <c r="AD52" s="14">
        <f t="shared" si="18"/>
        <v>0</v>
      </c>
      <c r="AE52" s="14">
        <f t="shared" si="19"/>
        <v>0</v>
      </c>
      <c r="AF52" s="15">
        <v>0</v>
      </c>
      <c r="AG52" s="7">
        <f t="shared" si="12"/>
        <v>0</v>
      </c>
      <c r="AH52" s="15">
        <v>0</v>
      </c>
      <c r="AI52" s="7">
        <f t="shared" si="13"/>
        <v>0</v>
      </c>
      <c r="AJ52" s="15">
        <v>0</v>
      </c>
      <c r="AK52" s="14">
        <f t="shared" si="14"/>
        <v>0</v>
      </c>
      <c r="AL52" s="15">
        <v>0</v>
      </c>
      <c r="AM52" s="7">
        <f t="shared" si="15"/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7">
        <f t="shared" si="16"/>
        <v>0</v>
      </c>
      <c r="AT52" s="14">
        <f t="shared" si="20"/>
        <v>0</v>
      </c>
      <c r="AU52" s="14">
        <f t="shared" si="20"/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-757633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172958</v>
      </c>
      <c r="BQ52" s="15">
        <v>7000</v>
      </c>
      <c r="BR52" s="14">
        <f t="shared" si="21"/>
        <v>179958</v>
      </c>
      <c r="BS52" s="15">
        <v>11400</v>
      </c>
      <c r="BT52" s="15">
        <v>0</v>
      </c>
      <c r="BU52" s="15">
        <v>0</v>
      </c>
      <c r="BV52" s="14">
        <f t="shared" si="22"/>
        <v>11400</v>
      </c>
      <c r="BW52" s="15">
        <v>114176</v>
      </c>
      <c r="BX52" s="15">
        <v>13702</v>
      </c>
      <c r="BY52" s="15">
        <v>114176</v>
      </c>
      <c r="BZ52" s="15">
        <v>61699</v>
      </c>
      <c r="CA52" s="15">
        <v>0</v>
      </c>
      <c r="CB52" s="15">
        <v>303753</v>
      </c>
      <c r="CC52" s="15">
        <v>62178</v>
      </c>
      <c r="CD52" s="15">
        <v>3732</v>
      </c>
      <c r="CE52" s="15">
        <v>0</v>
      </c>
      <c r="CF52" s="14">
        <f t="shared" si="23"/>
        <v>65910</v>
      </c>
      <c r="CG52" s="18"/>
      <c r="CH52" s="16"/>
      <c r="CI52" s="17"/>
      <c r="CJ52" s="17"/>
    </row>
    <row r="53" spans="1:88" s="13" customFormat="1" x14ac:dyDescent="0.35">
      <c r="A53" s="13">
        <v>1022942221</v>
      </c>
      <c r="B53" s="17" t="s">
        <v>95</v>
      </c>
      <c r="C53" s="17" t="s">
        <v>83</v>
      </c>
      <c r="D53" s="17" t="s">
        <v>286</v>
      </c>
      <c r="E53" s="17">
        <v>6571</v>
      </c>
      <c r="F53" s="17" t="s">
        <v>88</v>
      </c>
      <c r="G53" s="17" t="s">
        <v>89</v>
      </c>
      <c r="H53" s="17">
        <v>1022942221</v>
      </c>
      <c r="I53" s="17" t="s">
        <v>211</v>
      </c>
      <c r="J53" s="17" t="s">
        <v>94</v>
      </c>
      <c r="K53" s="17">
        <v>0</v>
      </c>
      <c r="L53" s="17">
        <v>0</v>
      </c>
      <c r="M53" s="17" t="s">
        <v>96</v>
      </c>
      <c r="N53" s="19">
        <v>45723</v>
      </c>
      <c r="O53" s="19">
        <v>1</v>
      </c>
      <c r="P53" s="20">
        <v>1423500</v>
      </c>
      <c r="Q53" s="17">
        <v>28</v>
      </c>
      <c r="R53" s="14">
        <f t="shared" si="17"/>
        <v>1328600</v>
      </c>
      <c r="S53" s="15">
        <v>180000</v>
      </c>
      <c r="T53" s="15">
        <v>8.8800000000000008</v>
      </c>
      <c r="U53" s="7">
        <f t="shared" si="8"/>
        <v>71822.045454545456</v>
      </c>
      <c r="V53" s="15">
        <v>0</v>
      </c>
      <c r="W53" s="7">
        <f t="shared" si="9"/>
        <v>0</v>
      </c>
      <c r="X53" s="15">
        <v>0</v>
      </c>
      <c r="Y53" s="7">
        <f t="shared" si="0"/>
        <v>0</v>
      </c>
      <c r="Z53" s="15">
        <v>0</v>
      </c>
      <c r="AA53" s="7">
        <f t="shared" si="10"/>
        <v>0</v>
      </c>
      <c r="AB53" s="15">
        <v>0</v>
      </c>
      <c r="AC53" s="14">
        <f t="shared" si="11"/>
        <v>0</v>
      </c>
      <c r="AD53" s="14">
        <f t="shared" si="18"/>
        <v>8.8800000000000008</v>
      </c>
      <c r="AE53" s="14">
        <f t="shared" si="19"/>
        <v>71822.045454545456</v>
      </c>
      <c r="AF53" s="15">
        <v>0</v>
      </c>
      <c r="AG53" s="7">
        <f t="shared" si="12"/>
        <v>0</v>
      </c>
      <c r="AH53" s="15">
        <v>0</v>
      </c>
      <c r="AI53" s="7">
        <f t="shared" si="13"/>
        <v>0</v>
      </c>
      <c r="AJ53" s="15">
        <v>0</v>
      </c>
      <c r="AK53" s="14">
        <f t="shared" si="14"/>
        <v>0</v>
      </c>
      <c r="AL53" s="15">
        <v>0</v>
      </c>
      <c r="AM53" s="7">
        <f t="shared" si="15"/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71.02</v>
      </c>
      <c r="AS53" s="7">
        <f t="shared" si="16"/>
        <v>160836.08863636359</v>
      </c>
      <c r="AT53" s="14">
        <f t="shared" si="20"/>
        <v>71.02</v>
      </c>
      <c r="AU53" s="14">
        <f t="shared" si="20"/>
        <v>160836.08863636359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70000</v>
      </c>
      <c r="BE53" s="15">
        <v>0</v>
      </c>
      <c r="BF53" s="15">
        <v>0</v>
      </c>
      <c r="BG53" s="15">
        <v>0</v>
      </c>
      <c r="BH53" s="15">
        <v>18287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215184</v>
      </c>
      <c r="BQ53" s="15">
        <v>38600</v>
      </c>
      <c r="BR53" s="14">
        <f t="shared" si="21"/>
        <v>253784</v>
      </c>
      <c r="BS53" s="15">
        <v>65300</v>
      </c>
      <c r="BT53" s="15">
        <v>0</v>
      </c>
      <c r="BU53" s="15">
        <v>0</v>
      </c>
      <c r="BV53" s="14">
        <f t="shared" si="22"/>
        <v>65300</v>
      </c>
      <c r="BW53" s="15">
        <v>152456</v>
      </c>
      <c r="BX53" s="15">
        <v>18295</v>
      </c>
      <c r="BY53" s="15">
        <v>152456</v>
      </c>
      <c r="BZ53" s="15">
        <v>71559</v>
      </c>
      <c r="CA53" s="15">
        <v>0</v>
      </c>
      <c r="CB53" s="15">
        <v>394766</v>
      </c>
      <c r="CC53" s="15">
        <v>2543395</v>
      </c>
      <c r="CD53" s="15">
        <v>152606</v>
      </c>
      <c r="CE53" s="15">
        <v>0</v>
      </c>
      <c r="CF53" s="14">
        <f t="shared" si="23"/>
        <v>2696001.1340909088</v>
      </c>
      <c r="CG53" s="18"/>
      <c r="CH53" s="16"/>
      <c r="CI53" s="17"/>
      <c r="CJ53" s="15"/>
    </row>
    <row r="54" spans="1:88" s="13" customFormat="1" x14ac:dyDescent="0.35">
      <c r="A54" s="13">
        <v>1030616144</v>
      </c>
      <c r="B54" s="17" t="s">
        <v>95</v>
      </c>
      <c r="C54" s="17" t="s">
        <v>83</v>
      </c>
      <c r="D54" s="17" t="s">
        <v>286</v>
      </c>
      <c r="E54" s="17">
        <v>6571</v>
      </c>
      <c r="F54" s="17" t="s">
        <v>88</v>
      </c>
      <c r="G54" s="17" t="s">
        <v>89</v>
      </c>
      <c r="H54" s="17">
        <v>1030616144</v>
      </c>
      <c r="I54" s="17" t="s">
        <v>155</v>
      </c>
      <c r="J54" s="17" t="s">
        <v>94</v>
      </c>
      <c r="K54" s="17">
        <v>0</v>
      </c>
      <c r="L54" s="17">
        <v>0</v>
      </c>
      <c r="M54" s="17" t="s">
        <v>96</v>
      </c>
      <c r="N54" s="19">
        <v>45723</v>
      </c>
      <c r="O54" s="19">
        <v>1</v>
      </c>
      <c r="P54" s="20">
        <v>1423500</v>
      </c>
      <c r="Q54" s="17">
        <v>30</v>
      </c>
      <c r="R54" s="14">
        <f t="shared" si="17"/>
        <v>1423500</v>
      </c>
      <c r="S54" s="15">
        <v>200000</v>
      </c>
      <c r="T54" s="15">
        <v>8.5500000000000007</v>
      </c>
      <c r="U54" s="7">
        <f t="shared" si="8"/>
        <v>69152.982954545456</v>
      </c>
      <c r="V54" s="15">
        <v>0</v>
      </c>
      <c r="W54" s="7">
        <f t="shared" si="9"/>
        <v>0</v>
      </c>
      <c r="X54" s="15">
        <v>0</v>
      </c>
      <c r="Y54" s="7">
        <f t="shared" si="0"/>
        <v>0</v>
      </c>
      <c r="Z54" s="15">
        <v>0</v>
      </c>
      <c r="AA54" s="7">
        <f t="shared" si="10"/>
        <v>0</v>
      </c>
      <c r="AB54" s="15">
        <v>0</v>
      </c>
      <c r="AC54" s="14">
        <f t="shared" si="11"/>
        <v>0</v>
      </c>
      <c r="AD54" s="14">
        <f t="shared" si="18"/>
        <v>8.5500000000000007</v>
      </c>
      <c r="AE54" s="14">
        <f t="shared" si="19"/>
        <v>69152.982954545456</v>
      </c>
      <c r="AF54" s="15">
        <v>0</v>
      </c>
      <c r="AG54" s="7">
        <f t="shared" si="12"/>
        <v>0</v>
      </c>
      <c r="AH54" s="15">
        <v>0</v>
      </c>
      <c r="AI54" s="7">
        <f t="shared" si="13"/>
        <v>0</v>
      </c>
      <c r="AJ54" s="15">
        <v>0</v>
      </c>
      <c r="AK54" s="14">
        <f t="shared" si="14"/>
        <v>0</v>
      </c>
      <c r="AL54" s="15">
        <v>0</v>
      </c>
      <c r="AM54" s="7">
        <f t="shared" si="15"/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77.5</v>
      </c>
      <c r="AS54" s="7">
        <f t="shared" si="16"/>
        <v>175511.07954545453</v>
      </c>
      <c r="AT54" s="14">
        <f t="shared" si="20"/>
        <v>77.5</v>
      </c>
      <c r="AU54" s="14">
        <f t="shared" si="20"/>
        <v>175511.07954545453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110000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213473</v>
      </c>
      <c r="BQ54" s="15">
        <v>43400</v>
      </c>
      <c r="BR54" s="14">
        <f t="shared" si="21"/>
        <v>256873</v>
      </c>
      <c r="BS54" s="15">
        <v>71200</v>
      </c>
      <c r="BT54" s="15">
        <v>0</v>
      </c>
      <c r="BU54" s="15">
        <v>0</v>
      </c>
      <c r="BV54" s="14">
        <f t="shared" si="22"/>
        <v>71200</v>
      </c>
      <c r="BW54" s="15">
        <v>164840</v>
      </c>
      <c r="BX54" s="15">
        <v>19782</v>
      </c>
      <c r="BY54" s="15">
        <v>164840</v>
      </c>
      <c r="BZ54" s="15">
        <v>77172</v>
      </c>
      <c r="CA54" s="15">
        <v>0</v>
      </c>
      <c r="CB54" s="15">
        <v>426634</v>
      </c>
      <c r="CC54" s="15">
        <v>2732871</v>
      </c>
      <c r="CD54" s="15">
        <v>163975</v>
      </c>
      <c r="CE54" s="15">
        <v>0</v>
      </c>
      <c r="CF54" s="14">
        <f t="shared" si="23"/>
        <v>2896846.0625</v>
      </c>
      <c r="CG54" s="18"/>
      <c r="CH54" s="16"/>
      <c r="CI54" s="17"/>
      <c r="CJ54" s="17"/>
    </row>
    <row r="55" spans="1:88" s="13" customFormat="1" x14ac:dyDescent="0.35">
      <c r="A55" s="13">
        <v>1012459086</v>
      </c>
      <c r="B55" s="17" t="s">
        <v>95</v>
      </c>
      <c r="C55" s="17" t="s">
        <v>83</v>
      </c>
      <c r="D55" s="17" t="s">
        <v>286</v>
      </c>
      <c r="E55" s="17">
        <v>6571</v>
      </c>
      <c r="F55" s="17" t="s">
        <v>88</v>
      </c>
      <c r="G55" s="17" t="s">
        <v>89</v>
      </c>
      <c r="H55" s="17">
        <v>1012459086</v>
      </c>
      <c r="I55" s="17" t="s">
        <v>156</v>
      </c>
      <c r="J55" s="17" t="s">
        <v>94</v>
      </c>
      <c r="K55" s="17">
        <v>0</v>
      </c>
      <c r="L55" s="17">
        <v>0</v>
      </c>
      <c r="M55" s="17" t="s">
        <v>96</v>
      </c>
      <c r="N55" s="19">
        <v>45728</v>
      </c>
      <c r="O55" s="19">
        <v>45842</v>
      </c>
      <c r="P55" s="20">
        <v>1423500</v>
      </c>
      <c r="Q55" s="17">
        <v>0</v>
      </c>
      <c r="R55" s="14">
        <f t="shared" si="17"/>
        <v>0</v>
      </c>
      <c r="S55" s="15">
        <v>0</v>
      </c>
      <c r="T55" s="15">
        <v>0</v>
      </c>
      <c r="U55" s="7">
        <f>+P55/230*T55*1.25</f>
        <v>0</v>
      </c>
      <c r="V55" s="15">
        <v>2.42</v>
      </c>
      <c r="W55" s="7">
        <f>+P55/230*V55*1.75</f>
        <v>26210.967391304348</v>
      </c>
      <c r="X55" s="15">
        <v>0</v>
      </c>
      <c r="Y55" s="7">
        <f t="shared" si="0"/>
        <v>0</v>
      </c>
      <c r="Z55" s="15">
        <v>0</v>
      </c>
      <c r="AA55" s="7">
        <f t="shared" si="10"/>
        <v>0</v>
      </c>
      <c r="AB55" s="15">
        <v>0</v>
      </c>
      <c r="AC55" s="14">
        <f t="shared" si="11"/>
        <v>0</v>
      </c>
      <c r="AD55" s="14">
        <f t="shared" si="18"/>
        <v>2.42</v>
      </c>
      <c r="AE55" s="14">
        <f t="shared" si="19"/>
        <v>26210.967391304348</v>
      </c>
      <c r="AF55" s="15">
        <v>0</v>
      </c>
      <c r="AG55" s="7">
        <f>+P55/230*AF55*1.8</f>
        <v>0</v>
      </c>
      <c r="AH55" s="15">
        <v>0</v>
      </c>
      <c r="AI55" s="7">
        <f t="shared" si="13"/>
        <v>0</v>
      </c>
      <c r="AJ55" s="15">
        <v>0</v>
      </c>
      <c r="AK55" s="14">
        <f>+P55/230*AJ55*2.1</f>
        <v>0</v>
      </c>
      <c r="AL55" s="15">
        <v>0</v>
      </c>
      <c r="AM55" s="7">
        <f t="shared" si="15"/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48.18</v>
      </c>
      <c r="AS55" s="7">
        <f>+P55/230*AR55*0.35</f>
        <v>104367.30652173913</v>
      </c>
      <c r="AT55" s="14">
        <f t="shared" si="20"/>
        <v>48.18</v>
      </c>
      <c r="AU55" s="14">
        <f t="shared" si="20"/>
        <v>104367.30652173913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90000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26554</v>
      </c>
      <c r="BQ55" s="15">
        <v>5300</v>
      </c>
      <c r="BR55" s="14">
        <f t="shared" si="21"/>
        <v>31854</v>
      </c>
      <c r="BS55" s="15">
        <v>8800</v>
      </c>
      <c r="BT55" s="15">
        <v>0</v>
      </c>
      <c r="BU55" s="15">
        <v>0</v>
      </c>
      <c r="BV55" s="14">
        <f t="shared" si="22"/>
        <v>8800</v>
      </c>
      <c r="BW55" s="15">
        <v>18381</v>
      </c>
      <c r="BX55" s="15">
        <v>2205</v>
      </c>
      <c r="BY55" s="15">
        <v>18381</v>
      </c>
      <c r="BZ55" s="15">
        <v>9573</v>
      </c>
      <c r="CA55" s="15">
        <v>0</v>
      </c>
      <c r="CB55" s="15">
        <v>48540</v>
      </c>
      <c r="CC55" s="15">
        <v>309772</v>
      </c>
      <c r="CD55" s="15">
        <v>18587</v>
      </c>
      <c r="CE55" s="15">
        <v>0</v>
      </c>
      <c r="CF55" s="14">
        <f t="shared" si="23"/>
        <v>328359.27391304343</v>
      </c>
      <c r="CG55" s="18"/>
      <c r="CH55" s="16"/>
      <c r="CI55" s="17"/>
      <c r="CJ55" s="17"/>
    </row>
    <row r="56" spans="1:88" s="13" customFormat="1" x14ac:dyDescent="0.35">
      <c r="A56" s="13">
        <v>1004692159</v>
      </c>
      <c r="B56" s="17" t="s">
        <v>95</v>
      </c>
      <c r="C56" s="17" t="s">
        <v>83</v>
      </c>
      <c r="D56" s="17" t="s">
        <v>286</v>
      </c>
      <c r="E56" s="17">
        <v>6571</v>
      </c>
      <c r="F56" s="17" t="s">
        <v>88</v>
      </c>
      <c r="G56" s="17" t="s">
        <v>89</v>
      </c>
      <c r="H56" s="17">
        <v>1004692159</v>
      </c>
      <c r="I56" s="17" t="s">
        <v>157</v>
      </c>
      <c r="J56" s="17" t="s">
        <v>94</v>
      </c>
      <c r="K56" s="17">
        <v>0</v>
      </c>
      <c r="L56" s="17">
        <v>0</v>
      </c>
      <c r="M56" s="17" t="s">
        <v>96</v>
      </c>
      <c r="N56" s="19">
        <v>45735</v>
      </c>
      <c r="O56" s="19">
        <v>1</v>
      </c>
      <c r="P56" s="20">
        <v>1423500</v>
      </c>
      <c r="Q56" s="17">
        <v>30</v>
      </c>
      <c r="R56" s="14">
        <f t="shared" si="17"/>
        <v>1423500</v>
      </c>
      <c r="S56" s="15">
        <v>200000</v>
      </c>
      <c r="T56" s="15">
        <v>0</v>
      </c>
      <c r="U56" s="7">
        <f t="shared" si="8"/>
        <v>0</v>
      </c>
      <c r="V56" s="15">
        <v>1</v>
      </c>
      <c r="W56" s="7">
        <f t="shared" si="9"/>
        <v>11323.295454545454</v>
      </c>
      <c r="X56" s="15">
        <v>0</v>
      </c>
      <c r="Y56" s="7">
        <f t="shared" si="0"/>
        <v>0</v>
      </c>
      <c r="Z56" s="15">
        <v>0</v>
      </c>
      <c r="AA56" s="7">
        <f t="shared" si="10"/>
        <v>0</v>
      </c>
      <c r="AB56" s="15">
        <v>0</v>
      </c>
      <c r="AC56" s="14">
        <f t="shared" si="11"/>
        <v>0</v>
      </c>
      <c r="AD56" s="14">
        <f t="shared" si="18"/>
        <v>1</v>
      </c>
      <c r="AE56" s="14">
        <f t="shared" si="19"/>
        <v>11323.295454545454</v>
      </c>
      <c r="AF56" s="15">
        <v>0</v>
      </c>
      <c r="AG56" s="7">
        <f t="shared" si="12"/>
        <v>0</v>
      </c>
      <c r="AH56" s="15">
        <v>0</v>
      </c>
      <c r="AI56" s="7">
        <f t="shared" si="13"/>
        <v>0</v>
      </c>
      <c r="AJ56" s="15">
        <v>0</v>
      </c>
      <c r="AK56" s="14">
        <f t="shared" si="14"/>
        <v>0</v>
      </c>
      <c r="AL56" s="15">
        <v>0</v>
      </c>
      <c r="AM56" s="7">
        <f t="shared" si="15"/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22</v>
      </c>
      <c r="AS56" s="7">
        <f t="shared" si="16"/>
        <v>49822.5</v>
      </c>
      <c r="AT56" s="14">
        <f t="shared" si="20"/>
        <v>22</v>
      </c>
      <c r="AU56" s="14">
        <f t="shared" si="20"/>
        <v>49822.5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110000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191414</v>
      </c>
      <c r="BQ56" s="15">
        <v>38900</v>
      </c>
      <c r="BR56" s="14">
        <f t="shared" si="21"/>
        <v>230314</v>
      </c>
      <c r="BS56" s="15">
        <v>63800</v>
      </c>
      <c r="BT56" s="15">
        <v>0</v>
      </c>
      <c r="BU56" s="15">
        <v>0</v>
      </c>
      <c r="BV56" s="14">
        <f t="shared" si="22"/>
        <v>63800</v>
      </c>
      <c r="BW56" s="15">
        <v>149548</v>
      </c>
      <c r="BX56" s="15">
        <v>17946</v>
      </c>
      <c r="BY56" s="15">
        <v>149548</v>
      </c>
      <c r="BZ56" s="15">
        <v>69208</v>
      </c>
      <c r="CA56" s="15">
        <v>0</v>
      </c>
      <c r="CB56" s="15">
        <v>386250</v>
      </c>
      <c r="CC56" s="15">
        <v>2475010</v>
      </c>
      <c r="CD56" s="15">
        <v>148501</v>
      </c>
      <c r="CE56" s="15">
        <v>0</v>
      </c>
      <c r="CF56" s="14">
        <f t="shared" si="23"/>
        <v>2623510.7954545454</v>
      </c>
      <c r="CG56" s="18"/>
      <c r="CH56" s="16"/>
      <c r="CI56" s="17"/>
      <c r="CJ56" s="15"/>
    </row>
    <row r="57" spans="1:88" s="13" customFormat="1" x14ac:dyDescent="0.35">
      <c r="A57" s="13">
        <v>1006099749</v>
      </c>
      <c r="B57" s="17" t="s">
        <v>95</v>
      </c>
      <c r="C57" s="17" t="s">
        <v>83</v>
      </c>
      <c r="D57" s="17" t="s">
        <v>286</v>
      </c>
      <c r="E57" s="17">
        <v>1980</v>
      </c>
      <c r="F57" s="17" t="s">
        <v>92</v>
      </c>
      <c r="G57" s="17" t="s">
        <v>93</v>
      </c>
      <c r="H57" s="17">
        <v>1006099749</v>
      </c>
      <c r="I57" s="17" t="s">
        <v>158</v>
      </c>
      <c r="J57" s="17" t="s">
        <v>94</v>
      </c>
      <c r="K57" s="17">
        <v>0</v>
      </c>
      <c r="L57" s="17">
        <v>0</v>
      </c>
      <c r="M57" s="17" t="s">
        <v>96</v>
      </c>
      <c r="N57" s="19">
        <v>45735</v>
      </c>
      <c r="O57" s="19">
        <v>1</v>
      </c>
      <c r="P57" s="20">
        <v>782925</v>
      </c>
      <c r="Q57" s="17">
        <v>30</v>
      </c>
      <c r="R57" s="14">
        <f t="shared" si="17"/>
        <v>782925</v>
      </c>
      <c r="S57" s="15">
        <v>200000</v>
      </c>
      <c r="T57" s="15">
        <v>6.6</v>
      </c>
      <c r="U57" s="7">
        <f t="shared" ref="U57" si="24">+P57/110*T57*1.25</f>
        <v>58719.375</v>
      </c>
      <c r="V57" s="15">
        <v>0</v>
      </c>
      <c r="W57" s="7">
        <f t="shared" ref="W57:W58" si="25">+P57/110*V57*1.75</f>
        <v>0</v>
      </c>
      <c r="X57" s="15">
        <v>0</v>
      </c>
      <c r="Y57" s="7">
        <f t="shared" si="0"/>
        <v>0</v>
      </c>
      <c r="Z57" s="15">
        <v>0</v>
      </c>
      <c r="AA57" s="7">
        <f t="shared" si="10"/>
        <v>0</v>
      </c>
      <c r="AB57" s="15">
        <v>0</v>
      </c>
      <c r="AC57" s="14">
        <f t="shared" si="11"/>
        <v>0</v>
      </c>
      <c r="AD57" s="14">
        <f t="shared" si="18"/>
        <v>6.6</v>
      </c>
      <c r="AE57" s="14">
        <f t="shared" si="19"/>
        <v>58719.375</v>
      </c>
      <c r="AF57" s="15">
        <v>3.03</v>
      </c>
      <c r="AG57" s="7">
        <f t="shared" ref="AG57:AG58" si="26">+P57/110*AF57*1.8</f>
        <v>38818.844999999994</v>
      </c>
      <c r="AH57" s="15">
        <v>0</v>
      </c>
      <c r="AI57" s="7">
        <f t="shared" si="13"/>
        <v>0</v>
      </c>
      <c r="AJ57" s="15">
        <v>0</v>
      </c>
      <c r="AK57" s="14">
        <f t="shared" si="14"/>
        <v>0</v>
      </c>
      <c r="AL57" s="15">
        <v>0</v>
      </c>
      <c r="AM57" s="7">
        <f t="shared" si="15"/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3.95</v>
      </c>
      <c r="AS57" s="7">
        <f t="shared" ref="AS57" si="27">+P57/110*AR57*0.35</f>
        <v>9839.9437499999985</v>
      </c>
      <c r="AT57" s="14">
        <f t="shared" si="20"/>
        <v>6.98</v>
      </c>
      <c r="AU57" s="14">
        <f t="shared" si="20"/>
        <v>48658.788749999992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260092</v>
      </c>
      <c r="BD57" s="15">
        <v>0</v>
      </c>
      <c r="BE57" s="15">
        <v>328224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170860</v>
      </c>
      <c r="BQ57" s="15">
        <v>34700</v>
      </c>
      <c r="BR57" s="14">
        <f t="shared" si="21"/>
        <v>205560</v>
      </c>
      <c r="BS57" s="15">
        <v>35700</v>
      </c>
      <c r="BT57" s="15">
        <v>0</v>
      </c>
      <c r="BU57" s="15">
        <v>0</v>
      </c>
      <c r="BV57" s="14">
        <f t="shared" si="22"/>
        <v>35700</v>
      </c>
      <c r="BW57" s="15">
        <v>90855</v>
      </c>
      <c r="BX57" s="15">
        <v>10903</v>
      </c>
      <c r="BY57" s="15">
        <v>90855</v>
      </c>
      <c r="BZ57" s="15">
        <v>38639</v>
      </c>
      <c r="CA57" s="15">
        <v>0</v>
      </c>
      <c r="CB57" s="15">
        <v>231252</v>
      </c>
      <c r="CC57" s="15">
        <v>2151132</v>
      </c>
      <c r="CD57" s="15">
        <v>129067</v>
      </c>
      <c r="CE57" s="15">
        <v>0</v>
      </c>
      <c r="CF57" s="14">
        <f t="shared" si="23"/>
        <v>2280198.1637500003</v>
      </c>
      <c r="CG57" s="18"/>
      <c r="CH57" s="16"/>
      <c r="CI57" s="15"/>
      <c r="CJ57" s="15"/>
    </row>
    <row r="58" spans="1:88" s="13" customFormat="1" x14ac:dyDescent="0.35">
      <c r="A58" s="13">
        <v>1073247893</v>
      </c>
      <c r="B58" s="17" t="s">
        <v>95</v>
      </c>
      <c r="C58" s="17" t="s">
        <v>83</v>
      </c>
      <c r="D58" s="17" t="s">
        <v>286</v>
      </c>
      <c r="E58" s="17">
        <v>6571</v>
      </c>
      <c r="F58" s="17" t="s">
        <v>88</v>
      </c>
      <c r="G58" s="17" t="s">
        <v>89</v>
      </c>
      <c r="H58" s="17">
        <v>1073247893</v>
      </c>
      <c r="I58" s="17" t="s">
        <v>159</v>
      </c>
      <c r="J58" s="17" t="s">
        <v>94</v>
      </c>
      <c r="K58" s="17">
        <v>0</v>
      </c>
      <c r="L58" s="17">
        <v>0</v>
      </c>
      <c r="M58" s="17" t="s">
        <v>96</v>
      </c>
      <c r="N58" s="19">
        <v>45735</v>
      </c>
      <c r="O58" s="19">
        <v>45849</v>
      </c>
      <c r="P58" s="20">
        <v>782925</v>
      </c>
      <c r="Q58" s="17">
        <v>0</v>
      </c>
      <c r="R58" s="14">
        <f t="shared" si="17"/>
        <v>0</v>
      </c>
      <c r="S58" s="15">
        <v>0</v>
      </c>
      <c r="T58" s="15">
        <v>7.46</v>
      </c>
      <c r="U58" s="7">
        <f>+P58/115*T58*1.25</f>
        <v>63485.005434782615</v>
      </c>
      <c r="V58" s="15">
        <v>0</v>
      </c>
      <c r="W58" s="7">
        <f t="shared" si="25"/>
        <v>0</v>
      </c>
      <c r="X58" s="15">
        <v>0</v>
      </c>
      <c r="Y58" s="7">
        <f t="shared" si="0"/>
        <v>0</v>
      </c>
      <c r="Z58" s="15">
        <v>0</v>
      </c>
      <c r="AA58" s="7">
        <f t="shared" si="10"/>
        <v>0</v>
      </c>
      <c r="AB58" s="15">
        <v>0</v>
      </c>
      <c r="AC58" s="14">
        <f t="shared" si="11"/>
        <v>0</v>
      </c>
      <c r="AD58" s="14">
        <f t="shared" si="18"/>
        <v>7.46</v>
      </c>
      <c r="AE58" s="14">
        <f t="shared" si="19"/>
        <v>63485.005434782615</v>
      </c>
      <c r="AF58" s="15">
        <v>0</v>
      </c>
      <c r="AG58" s="7">
        <f t="shared" si="26"/>
        <v>0</v>
      </c>
      <c r="AH58" s="15">
        <v>0</v>
      </c>
      <c r="AI58" s="7">
        <f t="shared" si="13"/>
        <v>0</v>
      </c>
      <c r="AJ58" s="15">
        <v>0</v>
      </c>
      <c r="AK58" s="14">
        <f t="shared" si="14"/>
        <v>0</v>
      </c>
      <c r="AL58" s="15">
        <v>0</v>
      </c>
      <c r="AM58" s="7">
        <f t="shared" si="15"/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3</v>
      </c>
      <c r="AS58" s="7">
        <f>+P58/115*AR58*0.35</f>
        <v>7148.4456521739121</v>
      </c>
      <c r="AT58" s="14">
        <f t="shared" si="20"/>
        <v>3</v>
      </c>
      <c r="AU58" s="14">
        <f t="shared" si="20"/>
        <v>7148.4456521739121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70000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4">
        <f t="shared" si="21"/>
        <v>0</v>
      </c>
      <c r="BS58" s="15">
        <v>5700</v>
      </c>
      <c r="BT58" s="15">
        <v>0</v>
      </c>
      <c r="BU58" s="15">
        <v>0</v>
      </c>
      <c r="BV58" s="14">
        <f t="shared" si="22"/>
        <v>5700</v>
      </c>
      <c r="BW58" s="15">
        <v>11719</v>
      </c>
      <c r="BX58" s="15">
        <v>1406</v>
      </c>
      <c r="BY58" s="15">
        <v>11719</v>
      </c>
      <c r="BZ58" s="15">
        <v>6103</v>
      </c>
      <c r="CA58" s="15">
        <v>0</v>
      </c>
      <c r="CB58" s="15">
        <v>30947</v>
      </c>
      <c r="CC58" s="15">
        <v>177280</v>
      </c>
      <c r="CD58" s="15">
        <v>10636</v>
      </c>
      <c r="CE58" s="15">
        <v>0</v>
      </c>
      <c r="CF58" s="14">
        <f t="shared" si="23"/>
        <v>187916.45108695654</v>
      </c>
      <c r="CG58" s="18"/>
      <c r="CH58" s="16"/>
      <c r="CI58" s="17"/>
      <c r="CJ58" s="17"/>
    </row>
    <row r="59" spans="1:88" s="13" customFormat="1" x14ac:dyDescent="0.35">
      <c r="A59" s="13">
        <v>1054568167</v>
      </c>
      <c r="B59" s="17" t="s">
        <v>95</v>
      </c>
      <c r="C59" s="17" t="s">
        <v>83</v>
      </c>
      <c r="D59" s="17" t="s">
        <v>286</v>
      </c>
      <c r="E59" s="17">
        <v>6563</v>
      </c>
      <c r="F59" s="17" t="s">
        <v>84</v>
      </c>
      <c r="G59" s="17" t="s">
        <v>85</v>
      </c>
      <c r="H59" s="17">
        <v>1054568167</v>
      </c>
      <c r="I59" s="17" t="s">
        <v>160</v>
      </c>
      <c r="J59" s="17" t="s">
        <v>94</v>
      </c>
      <c r="K59" s="17">
        <v>0</v>
      </c>
      <c r="L59" s="17">
        <v>0</v>
      </c>
      <c r="M59" s="17" t="s">
        <v>96</v>
      </c>
      <c r="N59" s="19">
        <v>45736</v>
      </c>
      <c r="O59" s="19">
        <v>45838</v>
      </c>
      <c r="P59" s="20">
        <v>1423500</v>
      </c>
      <c r="Q59" s="17">
        <v>0</v>
      </c>
      <c r="R59" s="14">
        <f t="shared" si="17"/>
        <v>0</v>
      </c>
      <c r="S59" s="15">
        <v>0</v>
      </c>
      <c r="T59" s="15">
        <v>2</v>
      </c>
      <c r="U59" s="7">
        <f>+P59/230*T59*1.25</f>
        <v>15472.826086956522</v>
      </c>
      <c r="V59" s="15">
        <v>2.97</v>
      </c>
      <c r="W59" s="7">
        <f>+P59/230*V59*1.75</f>
        <v>32168.005434782615</v>
      </c>
      <c r="X59" s="15">
        <v>0</v>
      </c>
      <c r="Y59" s="7">
        <f t="shared" si="0"/>
        <v>0</v>
      </c>
      <c r="Z59" s="15">
        <v>0</v>
      </c>
      <c r="AA59" s="7">
        <f t="shared" si="10"/>
        <v>0</v>
      </c>
      <c r="AB59" s="15">
        <v>0</v>
      </c>
      <c r="AC59" s="14">
        <f t="shared" si="11"/>
        <v>0</v>
      </c>
      <c r="AD59" s="14">
        <f t="shared" si="18"/>
        <v>4.9700000000000006</v>
      </c>
      <c r="AE59" s="14">
        <f t="shared" si="19"/>
        <v>47640.831521739135</v>
      </c>
      <c r="AF59" s="15">
        <v>30</v>
      </c>
      <c r="AG59" s="7">
        <f>+P59/230*AF59*1.8</f>
        <v>334213.04347826092</v>
      </c>
      <c r="AH59" s="15">
        <v>0</v>
      </c>
      <c r="AI59" s="7">
        <f t="shared" si="13"/>
        <v>0</v>
      </c>
      <c r="AJ59" s="15">
        <v>4</v>
      </c>
      <c r="AK59" s="14">
        <f>+P59/230*AJ59*2.1</f>
        <v>51988.695652173919</v>
      </c>
      <c r="AL59" s="15">
        <v>0</v>
      </c>
      <c r="AM59" s="7">
        <f t="shared" si="15"/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54</v>
      </c>
      <c r="AS59" s="7">
        <f>+P59/230*AR59*0.35</f>
        <v>116974.5652173913</v>
      </c>
      <c r="AT59" s="14">
        <f t="shared" si="20"/>
        <v>88</v>
      </c>
      <c r="AU59" s="14">
        <f t="shared" si="20"/>
        <v>503176.30434782611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59374</v>
      </c>
      <c r="BQ59" s="15">
        <v>12000</v>
      </c>
      <c r="BR59" s="14">
        <f t="shared" si="21"/>
        <v>71374</v>
      </c>
      <c r="BS59" s="15">
        <v>21700</v>
      </c>
      <c r="BT59" s="15">
        <v>0</v>
      </c>
      <c r="BU59" s="15">
        <v>0</v>
      </c>
      <c r="BV59" s="14">
        <f t="shared" si="22"/>
        <v>21700</v>
      </c>
      <c r="BW59" s="15">
        <v>45126</v>
      </c>
      <c r="BX59" s="15">
        <v>5415</v>
      </c>
      <c r="BY59" s="15">
        <v>45126</v>
      </c>
      <c r="BZ59" s="15">
        <v>23503</v>
      </c>
      <c r="CA59" s="15">
        <v>0</v>
      </c>
      <c r="CB59" s="15">
        <v>119170</v>
      </c>
      <c r="CC59" s="15">
        <v>753778</v>
      </c>
      <c r="CD59" s="15">
        <v>35944</v>
      </c>
      <c r="CE59" s="15">
        <v>0</v>
      </c>
      <c r="CF59" s="14">
        <f t="shared" si="23"/>
        <v>799005.1358695653</v>
      </c>
      <c r="CG59" s="18"/>
      <c r="CH59" s="16"/>
      <c r="CI59" s="17"/>
      <c r="CJ59" s="17"/>
    </row>
    <row r="60" spans="1:88" s="13" customFormat="1" x14ac:dyDescent="0.35">
      <c r="A60" s="13">
        <v>1040745970</v>
      </c>
      <c r="B60" s="17" t="s">
        <v>97</v>
      </c>
      <c r="C60" s="17" t="s">
        <v>83</v>
      </c>
      <c r="D60" s="17" t="s">
        <v>286</v>
      </c>
      <c r="E60" s="17">
        <v>5421</v>
      </c>
      <c r="F60" s="17" t="s">
        <v>86</v>
      </c>
      <c r="G60" s="17" t="s">
        <v>87</v>
      </c>
      <c r="H60" s="17">
        <v>1040745970</v>
      </c>
      <c r="I60" s="17" t="s">
        <v>161</v>
      </c>
      <c r="J60" s="17" t="s">
        <v>94</v>
      </c>
      <c r="K60" s="17">
        <v>0</v>
      </c>
      <c r="L60" s="17">
        <v>0</v>
      </c>
      <c r="M60" s="17" t="s">
        <v>96</v>
      </c>
      <c r="N60" s="19">
        <v>45723</v>
      </c>
      <c r="O60" s="19">
        <v>45870</v>
      </c>
      <c r="P60" s="20">
        <v>1423500</v>
      </c>
      <c r="Q60" s="17">
        <v>1</v>
      </c>
      <c r="R60" s="14">
        <f t="shared" si="17"/>
        <v>47450</v>
      </c>
      <c r="S60" s="15">
        <v>6666.666666666667</v>
      </c>
      <c r="T60" s="15">
        <v>0</v>
      </c>
      <c r="U60" s="7">
        <f t="shared" si="8"/>
        <v>0</v>
      </c>
      <c r="V60" s="15">
        <v>0</v>
      </c>
      <c r="W60" s="7">
        <f t="shared" si="9"/>
        <v>0</v>
      </c>
      <c r="X60" s="15">
        <v>0</v>
      </c>
      <c r="Y60" s="7">
        <f t="shared" si="0"/>
        <v>0</v>
      </c>
      <c r="Z60" s="15">
        <v>0</v>
      </c>
      <c r="AA60" s="7">
        <f t="shared" si="10"/>
        <v>0</v>
      </c>
      <c r="AB60" s="15">
        <v>0</v>
      </c>
      <c r="AC60" s="14">
        <f t="shared" si="11"/>
        <v>0</v>
      </c>
      <c r="AD60" s="14">
        <f t="shared" si="18"/>
        <v>0</v>
      </c>
      <c r="AE60" s="14">
        <f t="shared" si="19"/>
        <v>0</v>
      </c>
      <c r="AF60" s="15">
        <v>0</v>
      </c>
      <c r="AG60" s="7">
        <f t="shared" si="12"/>
        <v>0</v>
      </c>
      <c r="AH60" s="15">
        <v>0</v>
      </c>
      <c r="AI60" s="7">
        <f t="shared" si="13"/>
        <v>0</v>
      </c>
      <c r="AJ60" s="15">
        <v>0</v>
      </c>
      <c r="AK60" s="14">
        <f t="shared" si="14"/>
        <v>0</v>
      </c>
      <c r="AL60" s="15">
        <v>0</v>
      </c>
      <c r="AM60" s="7">
        <f t="shared" si="15"/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7">
        <f t="shared" si="16"/>
        <v>0</v>
      </c>
      <c r="AT60" s="14">
        <f t="shared" si="20"/>
        <v>0</v>
      </c>
      <c r="AU60" s="14">
        <f t="shared" si="20"/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121376</v>
      </c>
      <c r="BD60" s="15">
        <v>0</v>
      </c>
      <c r="BE60" s="15">
        <v>122886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5694</v>
      </c>
      <c r="BQ60" s="15">
        <v>495.37799999999999</v>
      </c>
      <c r="BR60" s="14">
        <f t="shared" si="21"/>
        <v>6189.3779999999997</v>
      </c>
      <c r="BS60" s="15">
        <v>1898</v>
      </c>
      <c r="BT60" s="15">
        <v>0</v>
      </c>
      <c r="BU60" s="15">
        <v>0</v>
      </c>
      <c r="BV60" s="14">
        <f t="shared" si="22"/>
        <v>1898</v>
      </c>
      <c r="BW60" s="15">
        <v>4509.5418333333328</v>
      </c>
      <c r="BX60" s="15">
        <v>541.16666666666663</v>
      </c>
      <c r="BY60" s="15">
        <v>4509.5418333333328</v>
      </c>
      <c r="BZ60" s="15">
        <v>2059.33</v>
      </c>
      <c r="CA60" s="15">
        <v>0</v>
      </c>
      <c r="CB60" s="15">
        <v>11619.580333333333</v>
      </c>
      <c r="CC60" s="15">
        <v>318085.625</v>
      </c>
      <c r="CD60" s="15">
        <v>16699</v>
      </c>
      <c r="CE60" s="15">
        <v>0</v>
      </c>
      <c r="CF60" s="14">
        <f t="shared" si="23"/>
        <v>334784.62500000006</v>
      </c>
      <c r="CG60" s="18"/>
      <c r="CH60" s="16"/>
      <c r="CI60" s="17"/>
      <c r="CJ60" s="17"/>
    </row>
    <row r="61" spans="1:88" s="13" customFormat="1" x14ac:dyDescent="0.35">
      <c r="A61" s="13">
        <v>1007306565</v>
      </c>
      <c r="B61" s="17" t="s">
        <v>97</v>
      </c>
      <c r="C61" s="17" t="s">
        <v>83</v>
      </c>
      <c r="D61" s="17" t="s">
        <v>286</v>
      </c>
      <c r="E61" s="17">
        <v>5421</v>
      </c>
      <c r="F61" s="17" t="s">
        <v>86</v>
      </c>
      <c r="G61" s="17" t="s">
        <v>87</v>
      </c>
      <c r="H61" s="17">
        <v>1007306565</v>
      </c>
      <c r="I61" s="17" t="s">
        <v>162</v>
      </c>
      <c r="J61" s="17" t="s">
        <v>94</v>
      </c>
      <c r="K61" s="17">
        <v>0</v>
      </c>
      <c r="L61" s="17">
        <v>0</v>
      </c>
      <c r="M61" s="17" t="s">
        <v>96</v>
      </c>
      <c r="N61" s="19">
        <v>45742</v>
      </c>
      <c r="O61" s="19">
        <v>1</v>
      </c>
      <c r="P61" s="20">
        <v>1423500</v>
      </c>
      <c r="Q61" s="17">
        <v>30</v>
      </c>
      <c r="R61" s="14">
        <f t="shared" si="17"/>
        <v>1423500</v>
      </c>
      <c r="S61" s="15">
        <v>186666.66666666669</v>
      </c>
      <c r="T61" s="15">
        <v>0</v>
      </c>
      <c r="U61" s="7">
        <f t="shared" si="8"/>
        <v>0</v>
      </c>
      <c r="V61" s="15">
        <v>0.97</v>
      </c>
      <c r="W61" s="7">
        <f t="shared" si="9"/>
        <v>10983.596590909088</v>
      </c>
      <c r="X61" s="15">
        <v>0</v>
      </c>
      <c r="Y61" s="7">
        <f t="shared" si="0"/>
        <v>0</v>
      </c>
      <c r="Z61" s="15">
        <v>0</v>
      </c>
      <c r="AA61" s="7">
        <f t="shared" si="10"/>
        <v>0</v>
      </c>
      <c r="AB61" s="15">
        <v>0</v>
      </c>
      <c r="AC61" s="14">
        <f t="shared" si="11"/>
        <v>0</v>
      </c>
      <c r="AD61" s="14">
        <f t="shared" si="18"/>
        <v>0.97</v>
      </c>
      <c r="AE61" s="14">
        <f t="shared" si="19"/>
        <v>10983.596590909088</v>
      </c>
      <c r="AF61" s="15">
        <v>0</v>
      </c>
      <c r="AG61" s="7">
        <f t="shared" si="12"/>
        <v>0</v>
      </c>
      <c r="AH61" s="15">
        <v>0</v>
      </c>
      <c r="AI61" s="7">
        <f t="shared" si="13"/>
        <v>0</v>
      </c>
      <c r="AJ61" s="15">
        <v>0</v>
      </c>
      <c r="AK61" s="14">
        <f t="shared" si="14"/>
        <v>0</v>
      </c>
      <c r="AL61" s="15">
        <v>0</v>
      </c>
      <c r="AM61" s="7">
        <f t="shared" si="15"/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61.2</v>
      </c>
      <c r="AS61" s="7">
        <f t="shared" si="16"/>
        <v>138597.13636363635</v>
      </c>
      <c r="AT61" s="14">
        <f t="shared" si="20"/>
        <v>61.2</v>
      </c>
      <c r="AU61" s="14">
        <f t="shared" si="20"/>
        <v>138597.13636363635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260092</v>
      </c>
      <c r="BD61" s="15">
        <v>0</v>
      </c>
      <c r="BE61" s="15">
        <v>263329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189557.12795454543</v>
      </c>
      <c r="BQ61" s="15">
        <v>15432.206852045454</v>
      </c>
      <c r="BR61" s="14">
        <f t="shared" si="21"/>
        <v>204989.33480659089</v>
      </c>
      <c r="BS61" s="15">
        <v>63185.70931818182</v>
      </c>
      <c r="BT61" s="15">
        <v>0</v>
      </c>
      <c r="BU61" s="15">
        <v>0</v>
      </c>
      <c r="BV61" s="14">
        <f t="shared" si="22"/>
        <v>63185.70931818182</v>
      </c>
      <c r="BW61" s="15">
        <v>147186.56227043562</v>
      </c>
      <c r="BX61" s="15">
        <v>17663.093996212119</v>
      </c>
      <c r="BY61" s="15">
        <v>147186.56227043562</v>
      </c>
      <c r="BZ61" s="15">
        <v>68556.494610227266</v>
      </c>
      <c r="CA61" s="15">
        <v>0</v>
      </c>
      <c r="CB61" s="15">
        <v>380592.7131473106</v>
      </c>
      <c r="CC61" s="15">
        <v>2938498.1568932952</v>
      </c>
      <c r="CD61" s="16">
        <v>160832.84310670476</v>
      </c>
      <c r="CE61" s="15">
        <v>0</v>
      </c>
      <c r="CF61" s="14">
        <f t="shared" si="23"/>
        <v>3092769</v>
      </c>
      <c r="CG61" s="18"/>
      <c r="CH61" s="16"/>
      <c r="CI61" s="22"/>
      <c r="CJ61" s="17"/>
    </row>
    <row r="62" spans="1:88" s="13" customFormat="1" x14ac:dyDescent="0.35">
      <c r="A62" s="13">
        <v>1069501089</v>
      </c>
      <c r="B62" s="17" t="s">
        <v>97</v>
      </c>
      <c r="C62" s="17" t="s">
        <v>83</v>
      </c>
      <c r="D62" s="17" t="s">
        <v>286</v>
      </c>
      <c r="E62" s="17">
        <v>5421</v>
      </c>
      <c r="F62" s="17" t="s">
        <v>86</v>
      </c>
      <c r="G62" s="17" t="s">
        <v>87</v>
      </c>
      <c r="H62" s="17">
        <v>1069501089</v>
      </c>
      <c r="I62" s="17" t="s">
        <v>163</v>
      </c>
      <c r="J62" s="17" t="s">
        <v>94</v>
      </c>
      <c r="K62" s="17">
        <v>0</v>
      </c>
      <c r="L62" s="17">
        <v>0</v>
      </c>
      <c r="M62" s="17" t="s">
        <v>96</v>
      </c>
      <c r="N62" s="19">
        <v>45742</v>
      </c>
      <c r="O62" s="19">
        <v>1</v>
      </c>
      <c r="P62" s="20">
        <v>1423500</v>
      </c>
      <c r="Q62" s="17">
        <v>30</v>
      </c>
      <c r="R62" s="14">
        <f t="shared" si="17"/>
        <v>1423500</v>
      </c>
      <c r="S62" s="15">
        <v>200000</v>
      </c>
      <c r="T62" s="15">
        <v>3.5</v>
      </c>
      <c r="U62" s="7">
        <f t="shared" si="8"/>
        <v>28308.238636363636</v>
      </c>
      <c r="V62" s="15">
        <v>0</v>
      </c>
      <c r="W62" s="7">
        <f t="shared" si="9"/>
        <v>0</v>
      </c>
      <c r="X62" s="15">
        <v>0</v>
      </c>
      <c r="Y62" s="7">
        <f t="shared" si="0"/>
        <v>0</v>
      </c>
      <c r="Z62" s="15">
        <v>0</v>
      </c>
      <c r="AA62" s="7">
        <f t="shared" si="10"/>
        <v>0</v>
      </c>
      <c r="AB62" s="15">
        <v>0</v>
      </c>
      <c r="AC62" s="14">
        <f t="shared" si="11"/>
        <v>0</v>
      </c>
      <c r="AD62" s="14">
        <f t="shared" si="18"/>
        <v>3.5</v>
      </c>
      <c r="AE62" s="14">
        <f t="shared" si="19"/>
        <v>28308.238636363636</v>
      </c>
      <c r="AF62" s="15">
        <v>7.12</v>
      </c>
      <c r="AG62" s="7">
        <f t="shared" si="12"/>
        <v>82925.345454545444</v>
      </c>
      <c r="AH62" s="15">
        <v>0</v>
      </c>
      <c r="AI62" s="7">
        <f t="shared" si="13"/>
        <v>0</v>
      </c>
      <c r="AJ62" s="15">
        <v>0</v>
      </c>
      <c r="AK62" s="14">
        <f t="shared" si="14"/>
        <v>0</v>
      </c>
      <c r="AL62" s="15">
        <v>0</v>
      </c>
      <c r="AM62" s="7">
        <f t="shared" si="15"/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7">
        <f t="shared" si="16"/>
        <v>0</v>
      </c>
      <c r="AT62" s="14">
        <f t="shared" si="20"/>
        <v>7.12</v>
      </c>
      <c r="AU62" s="14">
        <f t="shared" si="20"/>
        <v>82925.345454545444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260092</v>
      </c>
      <c r="BD62" s="15">
        <v>0</v>
      </c>
      <c r="BE62" s="15">
        <v>263329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184168.0300909091</v>
      </c>
      <c r="BQ62" s="15">
        <v>16022.618617909091</v>
      </c>
      <c r="BR62" s="14">
        <f t="shared" si="21"/>
        <v>200190.64870881819</v>
      </c>
      <c r="BS62" s="15">
        <v>61389.343363636362</v>
      </c>
      <c r="BT62" s="15">
        <v>0</v>
      </c>
      <c r="BU62" s="15">
        <v>0</v>
      </c>
      <c r="BV62" s="14">
        <f t="shared" si="22"/>
        <v>61389.343363636362</v>
      </c>
      <c r="BW62" s="15">
        <v>144555.34956229548</v>
      </c>
      <c r="BX62" s="15">
        <v>17347.335840909091</v>
      </c>
      <c r="BY62" s="15">
        <v>144555.34956229548</v>
      </c>
      <c r="BZ62" s="15">
        <v>66607.437549545459</v>
      </c>
      <c r="CA62" s="15">
        <v>0</v>
      </c>
      <c r="CB62" s="15">
        <v>373065.47251504543</v>
      </c>
      <c r="CC62" s="15">
        <v>2892800.0486784088</v>
      </c>
      <c r="CD62" s="15">
        <v>151872</v>
      </c>
      <c r="CE62" s="15">
        <v>0</v>
      </c>
      <c r="CF62" s="14">
        <f t="shared" si="23"/>
        <v>3044672.0486784088</v>
      </c>
      <c r="CG62" s="18"/>
      <c r="CH62" s="16"/>
      <c r="CI62" s="17"/>
      <c r="CJ62" s="17"/>
    </row>
    <row r="63" spans="1:88" s="13" customFormat="1" x14ac:dyDescent="0.35">
      <c r="A63" s="13">
        <v>1098741390</v>
      </c>
      <c r="B63" s="17" t="s">
        <v>97</v>
      </c>
      <c r="C63" s="17" t="s">
        <v>83</v>
      </c>
      <c r="D63" s="17" t="s">
        <v>286</v>
      </c>
      <c r="E63" s="17">
        <v>5641</v>
      </c>
      <c r="F63" s="17" t="s">
        <v>98</v>
      </c>
      <c r="G63" s="17" t="s">
        <v>99</v>
      </c>
      <c r="H63" s="17">
        <v>1098741390</v>
      </c>
      <c r="I63" s="17" t="s">
        <v>164</v>
      </c>
      <c r="J63" s="17" t="s">
        <v>94</v>
      </c>
      <c r="K63" s="17">
        <v>0</v>
      </c>
      <c r="L63" s="17">
        <v>0</v>
      </c>
      <c r="M63" s="17" t="s">
        <v>96</v>
      </c>
      <c r="N63" s="19">
        <v>45742</v>
      </c>
      <c r="O63" s="19">
        <v>1</v>
      </c>
      <c r="P63" s="20">
        <v>782924.99965959787</v>
      </c>
      <c r="Q63" s="17">
        <v>30</v>
      </c>
      <c r="R63" s="14">
        <f t="shared" si="17"/>
        <v>782924.99965959787</v>
      </c>
      <c r="S63" s="15">
        <v>193333.33333333334</v>
      </c>
      <c r="T63" s="15">
        <v>0</v>
      </c>
      <c r="U63" s="7">
        <f>+P63/110*T63*1.25</f>
        <v>0</v>
      </c>
      <c r="V63" s="15">
        <v>6.25</v>
      </c>
      <c r="W63" s="7">
        <f>+P63/220*V63*1.75</f>
        <v>38923.828108076596</v>
      </c>
      <c r="X63" s="15">
        <v>0</v>
      </c>
      <c r="Y63" s="7">
        <f t="shared" si="0"/>
        <v>0</v>
      </c>
      <c r="Z63" s="15">
        <v>0</v>
      </c>
      <c r="AA63" s="7">
        <f t="shared" si="10"/>
        <v>0</v>
      </c>
      <c r="AB63" s="15">
        <v>0</v>
      </c>
      <c r="AC63" s="14">
        <f t="shared" si="11"/>
        <v>0</v>
      </c>
      <c r="AD63" s="14">
        <f t="shared" si="18"/>
        <v>6.25</v>
      </c>
      <c r="AE63" s="14">
        <f t="shared" si="19"/>
        <v>38923.828108076596</v>
      </c>
      <c r="AF63" s="15">
        <v>0</v>
      </c>
      <c r="AG63" s="7">
        <f>+P63/110*AF63*1.8</f>
        <v>0</v>
      </c>
      <c r="AH63" s="15">
        <v>0</v>
      </c>
      <c r="AI63" s="7">
        <f t="shared" si="13"/>
        <v>0</v>
      </c>
      <c r="AJ63" s="15">
        <v>0</v>
      </c>
      <c r="AK63" s="14">
        <f t="shared" si="14"/>
        <v>0</v>
      </c>
      <c r="AL63" s="15">
        <v>0</v>
      </c>
      <c r="AM63" s="7">
        <f t="shared" si="15"/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24.92</v>
      </c>
      <c r="AS63" s="7">
        <f>+P63/220*AR63*0.35</f>
        <v>31039.417486504604</v>
      </c>
      <c r="AT63" s="14">
        <f t="shared" si="20"/>
        <v>24.92</v>
      </c>
      <c r="AU63" s="14">
        <f t="shared" si="20"/>
        <v>31039.417486504604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188567</v>
      </c>
      <c r="BD63" s="15">
        <v>0</v>
      </c>
      <c r="BE63" s="15">
        <v>190913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187902</v>
      </c>
      <c r="BQ63" s="15">
        <v>16347.474</v>
      </c>
      <c r="BR63" s="14">
        <f t="shared" si="21"/>
        <v>204249.47399999999</v>
      </c>
      <c r="BS63" s="15">
        <v>62634</v>
      </c>
      <c r="BT63" s="15">
        <v>0</v>
      </c>
      <c r="BU63" s="15">
        <v>0</v>
      </c>
      <c r="BV63" s="14">
        <f t="shared" si="22"/>
        <v>62634</v>
      </c>
      <c r="BW63" s="15">
        <v>130482.28050000001</v>
      </c>
      <c r="BX63" s="15">
        <v>13443.507454243801</v>
      </c>
      <c r="BY63" s="15">
        <v>130482.28050000001</v>
      </c>
      <c r="BZ63" s="15">
        <v>67957.89</v>
      </c>
      <c r="CA63" s="15">
        <v>0</v>
      </c>
      <c r="CB63" s="15">
        <v>342365.95845424384</v>
      </c>
      <c r="CC63" s="15">
        <v>2061048.5110531033</v>
      </c>
      <c r="CD63" s="15">
        <v>134302</v>
      </c>
      <c r="CE63" s="15">
        <v>0</v>
      </c>
      <c r="CF63" s="14">
        <f t="shared" si="23"/>
        <v>2169253.0110417563</v>
      </c>
      <c r="CG63" s="18"/>
      <c r="CH63" s="16"/>
      <c r="CI63" s="15"/>
      <c r="CJ63" s="15"/>
    </row>
    <row r="64" spans="1:88" s="13" customFormat="1" x14ac:dyDescent="0.35">
      <c r="A64" s="13">
        <v>1001095665</v>
      </c>
      <c r="B64" s="17" t="s">
        <v>95</v>
      </c>
      <c r="C64" s="17" t="s">
        <v>83</v>
      </c>
      <c r="D64" s="17" t="s">
        <v>286</v>
      </c>
      <c r="E64" s="17">
        <v>6571</v>
      </c>
      <c r="F64" s="17" t="s">
        <v>88</v>
      </c>
      <c r="G64" s="17" t="s">
        <v>89</v>
      </c>
      <c r="H64" s="17">
        <v>1001095665</v>
      </c>
      <c r="I64" s="17" t="s">
        <v>165</v>
      </c>
      <c r="J64" s="17" t="s">
        <v>94</v>
      </c>
      <c r="K64" s="17">
        <v>0</v>
      </c>
      <c r="L64" s="17">
        <v>0</v>
      </c>
      <c r="M64" s="17" t="s">
        <v>96</v>
      </c>
      <c r="N64" s="19">
        <v>45737</v>
      </c>
      <c r="O64" s="19">
        <v>1</v>
      </c>
      <c r="P64" s="20">
        <v>1423500</v>
      </c>
      <c r="Q64" s="17">
        <v>30</v>
      </c>
      <c r="R64" s="14">
        <f t="shared" si="17"/>
        <v>1423500</v>
      </c>
      <c r="S64" s="15">
        <v>200000</v>
      </c>
      <c r="T64" s="15">
        <v>0.92</v>
      </c>
      <c r="U64" s="7">
        <f t="shared" si="8"/>
        <v>7441.0227272727279</v>
      </c>
      <c r="V64" s="15">
        <v>3</v>
      </c>
      <c r="W64" s="7">
        <f t="shared" si="9"/>
        <v>33969.88636363636</v>
      </c>
      <c r="X64" s="15">
        <v>0</v>
      </c>
      <c r="Y64" s="7">
        <f t="shared" si="0"/>
        <v>0</v>
      </c>
      <c r="Z64" s="15">
        <v>0</v>
      </c>
      <c r="AA64" s="7">
        <f t="shared" si="10"/>
        <v>0</v>
      </c>
      <c r="AB64" s="15">
        <v>0</v>
      </c>
      <c r="AC64" s="14">
        <f t="shared" si="11"/>
        <v>0</v>
      </c>
      <c r="AD64" s="14">
        <f t="shared" si="18"/>
        <v>3.92</v>
      </c>
      <c r="AE64" s="14">
        <f t="shared" si="19"/>
        <v>41410.909090909088</v>
      </c>
      <c r="AF64" s="15">
        <v>0</v>
      </c>
      <c r="AG64" s="7">
        <f t="shared" si="12"/>
        <v>0</v>
      </c>
      <c r="AH64" s="15">
        <v>0</v>
      </c>
      <c r="AI64" s="7">
        <f t="shared" si="13"/>
        <v>0</v>
      </c>
      <c r="AJ64" s="15">
        <v>0</v>
      </c>
      <c r="AK64" s="14">
        <f t="shared" si="14"/>
        <v>0</v>
      </c>
      <c r="AL64" s="15">
        <v>0</v>
      </c>
      <c r="AM64" s="7">
        <f t="shared" si="15"/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21</v>
      </c>
      <c r="AS64" s="7">
        <f t="shared" si="16"/>
        <v>47557.840909090904</v>
      </c>
      <c r="AT64" s="14">
        <f t="shared" si="20"/>
        <v>21</v>
      </c>
      <c r="AU64" s="14">
        <f t="shared" si="20"/>
        <v>47557.840909090904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110000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194701</v>
      </c>
      <c r="BQ64" s="15">
        <v>39600</v>
      </c>
      <c r="BR64" s="14">
        <f t="shared" si="21"/>
        <v>234301</v>
      </c>
      <c r="BS64" s="15">
        <v>64900</v>
      </c>
      <c r="BT64" s="15">
        <v>0</v>
      </c>
      <c r="BU64" s="15">
        <v>0</v>
      </c>
      <c r="BV64" s="14">
        <f t="shared" si="22"/>
        <v>64900</v>
      </c>
      <c r="BW64" s="15">
        <v>151866</v>
      </c>
      <c r="BX64" s="15">
        <v>18225</v>
      </c>
      <c r="BY64" s="15">
        <v>151866</v>
      </c>
      <c r="BZ64" s="15">
        <v>70415</v>
      </c>
      <c r="CA64" s="15">
        <v>0</v>
      </c>
      <c r="CB64" s="15">
        <v>392372</v>
      </c>
      <c r="CC64" s="15">
        <v>2514042</v>
      </c>
      <c r="CD64" s="15">
        <v>150842</v>
      </c>
      <c r="CE64" s="15">
        <v>0</v>
      </c>
      <c r="CF64" s="14">
        <f t="shared" si="23"/>
        <v>2664883.75</v>
      </c>
      <c r="CG64" s="18"/>
      <c r="CH64" s="16"/>
      <c r="CI64" s="17"/>
      <c r="CJ64" s="17"/>
    </row>
    <row r="65" spans="1:88" s="13" customFormat="1" x14ac:dyDescent="0.35">
      <c r="A65" s="13">
        <v>1007248070</v>
      </c>
      <c r="B65" s="17" t="s">
        <v>95</v>
      </c>
      <c r="C65" s="17" t="s">
        <v>83</v>
      </c>
      <c r="D65" s="17" t="s">
        <v>286</v>
      </c>
      <c r="E65" s="17">
        <v>6571</v>
      </c>
      <c r="F65" s="17" t="s">
        <v>88</v>
      </c>
      <c r="G65" s="17" t="s">
        <v>89</v>
      </c>
      <c r="H65" s="17">
        <v>1007248070</v>
      </c>
      <c r="I65" s="17" t="s">
        <v>166</v>
      </c>
      <c r="J65" s="17" t="s">
        <v>94</v>
      </c>
      <c r="K65" s="17">
        <v>0</v>
      </c>
      <c r="L65" s="17">
        <v>0</v>
      </c>
      <c r="M65" s="17" t="s">
        <v>96</v>
      </c>
      <c r="N65" s="19">
        <v>45742</v>
      </c>
      <c r="O65" s="19">
        <v>1</v>
      </c>
      <c r="P65" s="20">
        <v>1423500</v>
      </c>
      <c r="Q65" s="17">
        <v>30</v>
      </c>
      <c r="R65" s="14">
        <f t="shared" si="17"/>
        <v>1423500</v>
      </c>
      <c r="S65" s="15">
        <v>200000</v>
      </c>
      <c r="T65" s="15">
        <v>6.52</v>
      </c>
      <c r="U65" s="7">
        <f t="shared" si="8"/>
        <v>52734.204545454544</v>
      </c>
      <c r="V65" s="15">
        <v>0</v>
      </c>
      <c r="W65" s="7">
        <f t="shared" si="9"/>
        <v>0</v>
      </c>
      <c r="X65" s="15">
        <v>0</v>
      </c>
      <c r="Y65" s="7">
        <f t="shared" si="0"/>
        <v>0</v>
      </c>
      <c r="Z65" s="15">
        <v>0</v>
      </c>
      <c r="AA65" s="7">
        <f t="shared" si="10"/>
        <v>0</v>
      </c>
      <c r="AB65" s="15">
        <v>0</v>
      </c>
      <c r="AC65" s="14">
        <f t="shared" si="11"/>
        <v>0</v>
      </c>
      <c r="AD65" s="14">
        <f t="shared" si="18"/>
        <v>6.52</v>
      </c>
      <c r="AE65" s="14">
        <f t="shared" si="19"/>
        <v>52734.204545454544</v>
      </c>
      <c r="AF65" s="15">
        <v>0</v>
      </c>
      <c r="AG65" s="7">
        <f t="shared" si="12"/>
        <v>0</v>
      </c>
      <c r="AH65" s="15">
        <v>0</v>
      </c>
      <c r="AI65" s="7">
        <f t="shared" si="13"/>
        <v>0</v>
      </c>
      <c r="AJ65" s="15">
        <v>0</v>
      </c>
      <c r="AK65" s="14">
        <f t="shared" si="14"/>
        <v>0</v>
      </c>
      <c r="AL65" s="15">
        <v>0</v>
      </c>
      <c r="AM65" s="7">
        <f t="shared" si="15"/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77.12</v>
      </c>
      <c r="AS65" s="7">
        <f t="shared" si="16"/>
        <v>174650.50909090906</v>
      </c>
      <c r="AT65" s="14">
        <f t="shared" si="20"/>
        <v>77.12</v>
      </c>
      <c r="AU65" s="14">
        <f t="shared" si="20"/>
        <v>174650.50909090906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110000</v>
      </c>
      <c r="BE65" s="15">
        <v>0</v>
      </c>
      <c r="BF65" s="15">
        <v>0</v>
      </c>
      <c r="BG65" s="15">
        <v>0</v>
      </c>
      <c r="BH65" s="15">
        <v>3789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211365</v>
      </c>
      <c r="BQ65" s="15">
        <v>42900</v>
      </c>
      <c r="BR65" s="14">
        <f t="shared" si="21"/>
        <v>254265</v>
      </c>
      <c r="BS65" s="15">
        <v>70500</v>
      </c>
      <c r="BT65" s="15">
        <v>0</v>
      </c>
      <c r="BU65" s="15">
        <v>0</v>
      </c>
      <c r="BV65" s="14">
        <f t="shared" si="22"/>
        <v>70500</v>
      </c>
      <c r="BW65" s="15">
        <v>163716</v>
      </c>
      <c r="BX65" s="15">
        <v>19647</v>
      </c>
      <c r="BY65" s="15">
        <v>163716</v>
      </c>
      <c r="BZ65" s="15">
        <v>76859</v>
      </c>
      <c r="CA65" s="15">
        <v>0</v>
      </c>
      <c r="CB65" s="15">
        <v>423938</v>
      </c>
      <c r="CC65" s="15">
        <v>2713377</v>
      </c>
      <c r="CD65" s="15">
        <v>162803</v>
      </c>
      <c r="CE65" s="15">
        <v>0</v>
      </c>
      <c r="CF65" s="14">
        <f t="shared" si="23"/>
        <v>2876179.7136363639</v>
      </c>
      <c r="CG65" s="18"/>
      <c r="CH65" s="16"/>
      <c r="CI65" s="17"/>
      <c r="CJ65" s="17"/>
    </row>
    <row r="66" spans="1:88" s="13" customFormat="1" x14ac:dyDescent="0.35">
      <c r="A66" s="13">
        <v>80250131</v>
      </c>
      <c r="B66" s="17" t="s">
        <v>95</v>
      </c>
      <c r="C66" s="17" t="s">
        <v>83</v>
      </c>
      <c r="D66" s="17" t="s">
        <v>286</v>
      </c>
      <c r="E66" s="17">
        <v>6571</v>
      </c>
      <c r="F66" s="17" t="s">
        <v>88</v>
      </c>
      <c r="G66" s="17" t="s">
        <v>89</v>
      </c>
      <c r="H66" s="17">
        <v>80250131</v>
      </c>
      <c r="I66" s="17" t="s">
        <v>167</v>
      </c>
      <c r="J66" s="17" t="s">
        <v>94</v>
      </c>
      <c r="K66" s="17">
        <v>0</v>
      </c>
      <c r="L66" s="17">
        <v>0</v>
      </c>
      <c r="M66" s="17" t="s">
        <v>96</v>
      </c>
      <c r="N66" s="19">
        <v>45742</v>
      </c>
      <c r="O66" s="19">
        <v>45841</v>
      </c>
      <c r="P66" s="20">
        <v>1423500</v>
      </c>
      <c r="Q66" s="17">
        <v>0</v>
      </c>
      <c r="R66" s="14">
        <f t="shared" si="17"/>
        <v>0</v>
      </c>
      <c r="S66" s="15">
        <v>0</v>
      </c>
      <c r="T66" s="15">
        <v>4.45</v>
      </c>
      <c r="U66" s="7">
        <f>+P66/230*T66*1.25</f>
        <v>34427.038043478264</v>
      </c>
      <c r="V66" s="15">
        <v>0</v>
      </c>
      <c r="W66" s="7">
        <f>+P66/230*V66*1.75</f>
        <v>0</v>
      </c>
      <c r="X66" s="15">
        <v>0</v>
      </c>
      <c r="Y66" s="7">
        <f t="shared" ref="Y66:Y129" si="28">+P66/235*X66*1.75</f>
        <v>0</v>
      </c>
      <c r="Z66" s="15">
        <v>0</v>
      </c>
      <c r="AA66" s="7">
        <f t="shared" si="10"/>
        <v>0</v>
      </c>
      <c r="AB66" s="15">
        <v>0</v>
      </c>
      <c r="AC66" s="14">
        <f t="shared" si="11"/>
        <v>0</v>
      </c>
      <c r="AD66" s="14">
        <f t="shared" si="18"/>
        <v>4.45</v>
      </c>
      <c r="AE66" s="14">
        <f t="shared" si="19"/>
        <v>34427.038043478264</v>
      </c>
      <c r="AF66" s="15">
        <v>0</v>
      </c>
      <c r="AG66" s="7">
        <f>+P66/230*AF66*1.8</f>
        <v>0</v>
      </c>
      <c r="AH66" s="15">
        <v>0</v>
      </c>
      <c r="AI66" s="7">
        <f t="shared" si="13"/>
        <v>0</v>
      </c>
      <c r="AJ66" s="15">
        <v>0</v>
      </c>
      <c r="AK66" s="14">
        <f>+P66/230*AJ66*2.1</f>
        <v>0</v>
      </c>
      <c r="AL66" s="15">
        <v>0</v>
      </c>
      <c r="AM66" s="7">
        <f t="shared" si="15"/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51</v>
      </c>
      <c r="AS66" s="7">
        <f>+P66/230*AR66*0.35</f>
        <v>110475.97826086957</v>
      </c>
      <c r="AT66" s="14">
        <f t="shared" si="20"/>
        <v>51</v>
      </c>
      <c r="AU66" s="14">
        <f t="shared" si="20"/>
        <v>110475.97826086957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70000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25808</v>
      </c>
      <c r="BQ66" s="15">
        <v>5300</v>
      </c>
      <c r="BR66" s="14">
        <f t="shared" si="21"/>
        <v>31108</v>
      </c>
      <c r="BS66" s="15">
        <v>8700</v>
      </c>
      <c r="BT66" s="15">
        <v>0</v>
      </c>
      <c r="BU66" s="15">
        <v>0</v>
      </c>
      <c r="BV66" s="14">
        <f t="shared" si="22"/>
        <v>8700</v>
      </c>
      <c r="BW66" s="15">
        <v>17908</v>
      </c>
      <c r="BX66" s="15">
        <v>2149</v>
      </c>
      <c r="BY66" s="15">
        <v>17908</v>
      </c>
      <c r="BZ66" s="15">
        <v>9327</v>
      </c>
      <c r="CA66" s="15">
        <v>0</v>
      </c>
      <c r="CB66" s="15">
        <v>47292</v>
      </c>
      <c r="CC66" s="15">
        <v>302003</v>
      </c>
      <c r="CD66" s="15">
        <v>18122</v>
      </c>
      <c r="CE66" s="15">
        <v>0</v>
      </c>
      <c r="CF66" s="14">
        <f t="shared" si="23"/>
        <v>320125.01630434784</v>
      </c>
      <c r="CG66" s="18"/>
      <c r="CH66" s="16"/>
      <c r="CI66" s="17"/>
      <c r="CJ66" s="17"/>
    </row>
    <row r="67" spans="1:88" s="13" customFormat="1" x14ac:dyDescent="0.35">
      <c r="A67" s="13">
        <v>1022357307</v>
      </c>
      <c r="B67" s="17" t="s">
        <v>95</v>
      </c>
      <c r="C67" s="17" t="s">
        <v>83</v>
      </c>
      <c r="D67" s="17" t="s">
        <v>286</v>
      </c>
      <c r="E67" s="17">
        <v>6571</v>
      </c>
      <c r="F67" s="17" t="s">
        <v>88</v>
      </c>
      <c r="G67" s="17" t="s">
        <v>89</v>
      </c>
      <c r="H67" s="17">
        <v>1022357307</v>
      </c>
      <c r="I67" s="17" t="s">
        <v>168</v>
      </c>
      <c r="J67" s="17" t="s">
        <v>94</v>
      </c>
      <c r="K67" s="17">
        <v>0</v>
      </c>
      <c r="L67" s="17">
        <v>0</v>
      </c>
      <c r="M67" s="17" t="s">
        <v>96</v>
      </c>
      <c r="N67" s="19">
        <v>45744</v>
      </c>
      <c r="O67" s="19">
        <v>1</v>
      </c>
      <c r="P67" s="20">
        <v>1423500</v>
      </c>
      <c r="Q67" s="17">
        <v>30</v>
      </c>
      <c r="R67" s="14">
        <f t="shared" si="17"/>
        <v>1423500</v>
      </c>
      <c r="S67" s="15">
        <v>200000</v>
      </c>
      <c r="T67" s="15">
        <v>1.87</v>
      </c>
      <c r="U67" s="7">
        <f t="shared" ref="U67:U130" si="29">+P67/220*T67*1.25</f>
        <v>15124.6875</v>
      </c>
      <c r="V67" s="15">
        <v>9.42</v>
      </c>
      <c r="W67" s="7">
        <f t="shared" ref="W67:W130" si="30">+P67/220*V67*1.75</f>
        <v>106665.44318181818</v>
      </c>
      <c r="X67" s="15">
        <v>0</v>
      </c>
      <c r="Y67" s="7">
        <f t="shared" si="28"/>
        <v>0</v>
      </c>
      <c r="Z67" s="15">
        <v>0</v>
      </c>
      <c r="AA67" s="7">
        <f t="shared" ref="AA67:AA130" si="31">+P67/220*Z67*2.5</f>
        <v>0</v>
      </c>
      <c r="AB67" s="15">
        <v>0</v>
      </c>
      <c r="AC67" s="14">
        <f t="shared" ref="AC67:AC130" si="32">+P67/220*AB67*2</f>
        <v>0</v>
      </c>
      <c r="AD67" s="14">
        <f t="shared" si="18"/>
        <v>11.29</v>
      </c>
      <c r="AE67" s="14">
        <f t="shared" si="19"/>
        <v>121790.13068181818</v>
      </c>
      <c r="AF67" s="15">
        <v>0</v>
      </c>
      <c r="AG67" s="7">
        <f t="shared" ref="AG67:AG130" si="33">+P67/220*AF67*1.8</f>
        <v>0</v>
      </c>
      <c r="AH67" s="15">
        <v>0</v>
      </c>
      <c r="AI67" s="7">
        <f t="shared" ref="AI67:AI130" si="34">+P67/220*AH67*1.8</f>
        <v>0</v>
      </c>
      <c r="AJ67" s="15">
        <v>0</v>
      </c>
      <c r="AK67" s="14">
        <f t="shared" ref="AK67:AK130" si="35">+P67/220*AJ67*2.1</f>
        <v>0</v>
      </c>
      <c r="AL67" s="15">
        <v>0</v>
      </c>
      <c r="AM67" s="7">
        <f t="shared" ref="AM67:AM130" si="36">+P67/220*AL67*2.1</f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16.420000000000002</v>
      </c>
      <c r="AS67" s="7">
        <f t="shared" ref="AS67:AS130" si="37">+P67/220*AR67*0.35</f>
        <v>37185.702272727271</v>
      </c>
      <c r="AT67" s="14">
        <f t="shared" si="20"/>
        <v>16.420000000000002</v>
      </c>
      <c r="AU67" s="14">
        <f t="shared" si="20"/>
        <v>37185.702272727271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110000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203101</v>
      </c>
      <c r="BQ67" s="15">
        <v>41300</v>
      </c>
      <c r="BR67" s="14">
        <f t="shared" si="21"/>
        <v>244401</v>
      </c>
      <c r="BS67" s="15">
        <v>67700</v>
      </c>
      <c r="BT67" s="15">
        <v>0</v>
      </c>
      <c r="BU67" s="15">
        <v>0</v>
      </c>
      <c r="BV67" s="14">
        <f t="shared" si="22"/>
        <v>67700</v>
      </c>
      <c r="BW67" s="15">
        <v>157700</v>
      </c>
      <c r="BX67" s="15">
        <v>18925</v>
      </c>
      <c r="BY67" s="15">
        <v>157700</v>
      </c>
      <c r="BZ67" s="15">
        <v>73453</v>
      </c>
      <c r="CA67" s="15">
        <v>0</v>
      </c>
      <c r="CB67" s="15">
        <v>407778</v>
      </c>
      <c r="CC67" s="15">
        <v>2612355</v>
      </c>
      <c r="CD67" s="15">
        <v>156742</v>
      </c>
      <c r="CE67" s="15">
        <v>0</v>
      </c>
      <c r="CF67" s="14">
        <f t="shared" si="23"/>
        <v>2769096.8329545455</v>
      </c>
      <c r="CG67" s="18"/>
      <c r="CH67" s="16"/>
      <c r="CI67" s="17"/>
      <c r="CJ67" s="15"/>
    </row>
    <row r="68" spans="1:88" s="13" customFormat="1" x14ac:dyDescent="0.35">
      <c r="A68" s="13">
        <v>1070944166</v>
      </c>
      <c r="B68" s="17" t="s">
        <v>95</v>
      </c>
      <c r="C68" s="17" t="s">
        <v>83</v>
      </c>
      <c r="D68" s="17" t="s">
        <v>286</v>
      </c>
      <c r="E68" s="17">
        <v>6563</v>
      </c>
      <c r="F68" s="17" t="s">
        <v>84</v>
      </c>
      <c r="G68" s="17" t="s">
        <v>85</v>
      </c>
      <c r="H68" s="17">
        <v>1070944166</v>
      </c>
      <c r="I68" s="17" t="s">
        <v>169</v>
      </c>
      <c r="J68" s="17" t="s">
        <v>94</v>
      </c>
      <c r="K68" s="17">
        <v>0</v>
      </c>
      <c r="L68" s="17">
        <v>0</v>
      </c>
      <c r="M68" s="17" t="s">
        <v>96</v>
      </c>
      <c r="N68" s="19">
        <v>45748</v>
      </c>
      <c r="O68" s="19">
        <v>45838</v>
      </c>
      <c r="P68" s="20">
        <v>1423500</v>
      </c>
      <c r="Q68" s="17">
        <v>0</v>
      </c>
      <c r="R68" s="14">
        <f t="shared" si="17"/>
        <v>0</v>
      </c>
      <c r="S68" s="15">
        <v>0</v>
      </c>
      <c r="T68" s="15">
        <v>1.98</v>
      </c>
      <c r="U68" s="7">
        <f t="shared" ref="U68:U70" si="38">+P68/230*T68*1.25</f>
        <v>15318.097826086958</v>
      </c>
      <c r="V68" s="15">
        <v>6.87</v>
      </c>
      <c r="W68" s="7">
        <f t="shared" ref="W68:W70" si="39">+P68/230*V68*1.75</f>
        <v>74408.820652173919</v>
      </c>
      <c r="X68" s="15">
        <v>0</v>
      </c>
      <c r="Y68" s="7">
        <f t="shared" si="28"/>
        <v>0</v>
      </c>
      <c r="Z68" s="15">
        <v>0</v>
      </c>
      <c r="AA68" s="7">
        <f t="shared" si="31"/>
        <v>0</v>
      </c>
      <c r="AB68" s="15">
        <v>0</v>
      </c>
      <c r="AC68" s="14">
        <f t="shared" si="32"/>
        <v>0</v>
      </c>
      <c r="AD68" s="14">
        <f t="shared" si="18"/>
        <v>8.85</v>
      </c>
      <c r="AE68" s="14">
        <f t="shared" si="19"/>
        <v>89726.918478260879</v>
      </c>
      <c r="AF68" s="15">
        <v>14</v>
      </c>
      <c r="AG68" s="7">
        <f t="shared" ref="AG68:AG70" si="40">+P68/230*AF68*1.75</f>
        <v>151633.69565217392</v>
      </c>
      <c r="AH68" s="15">
        <v>0</v>
      </c>
      <c r="AI68" s="7">
        <f t="shared" si="34"/>
        <v>0</v>
      </c>
      <c r="AJ68" s="15">
        <v>12</v>
      </c>
      <c r="AK68" s="14">
        <f t="shared" ref="AK68:AK70" si="41">+P68/230*AJ68*2.1</f>
        <v>155966.08695652176</v>
      </c>
      <c r="AL68" s="15">
        <v>0</v>
      </c>
      <c r="AM68" s="7">
        <f t="shared" si="36"/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17.98</v>
      </c>
      <c r="AS68" s="7">
        <f t="shared" ref="AS68:AS70" si="42">+P68/230*AR68*0.35</f>
        <v>38948.197826086958</v>
      </c>
      <c r="AT68" s="14">
        <f t="shared" si="20"/>
        <v>43.980000000000004</v>
      </c>
      <c r="AU68" s="14">
        <f t="shared" si="20"/>
        <v>346547.98043478263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46794</v>
      </c>
      <c r="BQ68" s="15">
        <v>9500</v>
      </c>
      <c r="BR68" s="14">
        <f t="shared" si="21"/>
        <v>56294</v>
      </c>
      <c r="BS68" s="15">
        <v>17400</v>
      </c>
      <c r="BT68" s="15">
        <v>0</v>
      </c>
      <c r="BU68" s="15">
        <v>0</v>
      </c>
      <c r="BV68" s="14">
        <f t="shared" si="22"/>
        <v>17400</v>
      </c>
      <c r="BW68" s="15">
        <v>36355</v>
      </c>
      <c r="BX68" s="15">
        <v>4363</v>
      </c>
      <c r="BY68" s="15">
        <v>36355</v>
      </c>
      <c r="BZ68" s="15">
        <v>18935</v>
      </c>
      <c r="CA68" s="15">
        <v>0</v>
      </c>
      <c r="CB68" s="15">
        <v>96008</v>
      </c>
      <c r="CC68" s="15">
        <v>605977</v>
      </c>
      <c r="CD68" s="15">
        <v>36360</v>
      </c>
      <c r="CE68" s="15">
        <v>0</v>
      </c>
      <c r="CF68" s="14">
        <f t="shared" si="23"/>
        <v>642336.89891304355</v>
      </c>
      <c r="CG68" s="18"/>
      <c r="CH68" s="16"/>
      <c r="CI68" s="17"/>
      <c r="CJ68" s="17"/>
    </row>
    <row r="69" spans="1:88" s="13" customFormat="1" x14ac:dyDescent="0.35">
      <c r="A69" s="13">
        <v>1003689192</v>
      </c>
      <c r="B69" s="17" t="s">
        <v>95</v>
      </c>
      <c r="C69" s="17" t="s">
        <v>83</v>
      </c>
      <c r="D69" s="17" t="s">
        <v>286</v>
      </c>
      <c r="E69" s="17">
        <v>6563</v>
      </c>
      <c r="F69" s="17" t="s">
        <v>84</v>
      </c>
      <c r="G69" s="17" t="s">
        <v>85</v>
      </c>
      <c r="H69" s="17">
        <v>1003689192</v>
      </c>
      <c r="I69" s="17" t="s">
        <v>170</v>
      </c>
      <c r="J69" s="17" t="s">
        <v>94</v>
      </c>
      <c r="K69" s="17">
        <v>0</v>
      </c>
      <c r="L69" s="17">
        <v>0</v>
      </c>
      <c r="M69" s="17" t="s">
        <v>96</v>
      </c>
      <c r="N69" s="19">
        <v>45748</v>
      </c>
      <c r="O69" s="19">
        <v>45838</v>
      </c>
      <c r="P69" s="20">
        <v>1423500</v>
      </c>
      <c r="Q69" s="17">
        <v>0</v>
      </c>
      <c r="R69" s="14">
        <f t="shared" si="17"/>
        <v>0</v>
      </c>
      <c r="S69" s="15">
        <v>0</v>
      </c>
      <c r="T69" s="15">
        <v>2</v>
      </c>
      <c r="U69" s="7">
        <f t="shared" si="38"/>
        <v>15472.826086956522</v>
      </c>
      <c r="V69" s="15">
        <v>3.93</v>
      </c>
      <c r="W69" s="7">
        <f t="shared" si="39"/>
        <v>42565.744565217399</v>
      </c>
      <c r="X69" s="15">
        <v>0</v>
      </c>
      <c r="Y69" s="7">
        <f t="shared" si="28"/>
        <v>0</v>
      </c>
      <c r="Z69" s="15">
        <v>0</v>
      </c>
      <c r="AA69" s="7">
        <f t="shared" si="31"/>
        <v>0</v>
      </c>
      <c r="AB69" s="15">
        <v>0</v>
      </c>
      <c r="AC69" s="14">
        <f t="shared" si="32"/>
        <v>0</v>
      </c>
      <c r="AD69" s="14">
        <f t="shared" si="18"/>
        <v>5.93</v>
      </c>
      <c r="AE69" s="14">
        <f t="shared" si="19"/>
        <v>58038.570652173919</v>
      </c>
      <c r="AF69" s="15">
        <v>22</v>
      </c>
      <c r="AG69" s="7">
        <f t="shared" si="40"/>
        <v>238281.52173913046</v>
      </c>
      <c r="AH69" s="15">
        <v>0</v>
      </c>
      <c r="AI69" s="7">
        <f t="shared" si="34"/>
        <v>0</v>
      </c>
      <c r="AJ69" s="15">
        <v>4</v>
      </c>
      <c r="AK69" s="14">
        <f t="shared" si="41"/>
        <v>51988.695652173919</v>
      </c>
      <c r="AL69" s="15">
        <v>0</v>
      </c>
      <c r="AM69" s="7">
        <f t="shared" si="36"/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53</v>
      </c>
      <c r="AS69" s="7">
        <f t="shared" si="42"/>
        <v>114808.36956521739</v>
      </c>
      <c r="AT69" s="14">
        <f t="shared" si="20"/>
        <v>79</v>
      </c>
      <c r="AU69" s="14">
        <f t="shared" si="20"/>
        <v>405078.58695652179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49946</v>
      </c>
      <c r="BQ69" s="15">
        <v>10100</v>
      </c>
      <c r="BR69" s="14">
        <f t="shared" si="21"/>
        <v>60046</v>
      </c>
      <c r="BS69" s="15">
        <v>18500</v>
      </c>
      <c r="BT69" s="15">
        <v>0</v>
      </c>
      <c r="BU69" s="15">
        <v>0</v>
      </c>
      <c r="BV69" s="14">
        <f t="shared" si="22"/>
        <v>18500</v>
      </c>
      <c r="BW69" s="15">
        <v>38592</v>
      </c>
      <c r="BX69" s="15">
        <v>4631</v>
      </c>
      <c r="BY69" s="15">
        <v>38592</v>
      </c>
      <c r="BZ69" s="15">
        <v>20099</v>
      </c>
      <c r="CA69" s="15">
        <v>0</v>
      </c>
      <c r="CB69" s="15">
        <v>101914</v>
      </c>
      <c r="CC69" s="15">
        <v>643578</v>
      </c>
      <c r="CD69" s="15">
        <v>38614</v>
      </c>
      <c r="CE69" s="15">
        <v>0</v>
      </c>
      <c r="CF69" s="14">
        <f t="shared" si="23"/>
        <v>682191.15760869568</v>
      </c>
      <c r="CG69" s="18"/>
      <c r="CH69" s="16"/>
      <c r="CI69" s="17"/>
      <c r="CJ69" s="17"/>
    </row>
    <row r="70" spans="1:88" s="13" customFormat="1" x14ac:dyDescent="0.35">
      <c r="A70" s="13">
        <v>1049349955</v>
      </c>
      <c r="B70" s="17" t="s">
        <v>95</v>
      </c>
      <c r="C70" s="17" t="s">
        <v>83</v>
      </c>
      <c r="D70" s="17" t="s">
        <v>286</v>
      </c>
      <c r="E70" s="17">
        <v>6563</v>
      </c>
      <c r="F70" s="17" t="s">
        <v>84</v>
      </c>
      <c r="G70" s="17" t="s">
        <v>85</v>
      </c>
      <c r="H70" s="17">
        <v>1049349955</v>
      </c>
      <c r="I70" s="17" t="s">
        <v>171</v>
      </c>
      <c r="J70" s="17" t="s">
        <v>94</v>
      </c>
      <c r="K70" s="17">
        <v>0</v>
      </c>
      <c r="L70" s="17">
        <v>0</v>
      </c>
      <c r="M70" s="17" t="s">
        <v>96</v>
      </c>
      <c r="N70" s="19">
        <v>45748</v>
      </c>
      <c r="O70" s="19">
        <v>45838</v>
      </c>
      <c r="P70" s="20">
        <v>1423500</v>
      </c>
      <c r="Q70" s="17">
        <v>0</v>
      </c>
      <c r="R70" s="14">
        <f t="shared" si="17"/>
        <v>0</v>
      </c>
      <c r="S70" s="15">
        <v>0</v>
      </c>
      <c r="T70" s="15">
        <v>0</v>
      </c>
      <c r="U70" s="7">
        <f t="shared" si="38"/>
        <v>0</v>
      </c>
      <c r="V70" s="15">
        <v>0</v>
      </c>
      <c r="W70" s="7">
        <f t="shared" si="39"/>
        <v>0</v>
      </c>
      <c r="X70" s="15">
        <v>0</v>
      </c>
      <c r="Y70" s="7">
        <f t="shared" si="28"/>
        <v>0</v>
      </c>
      <c r="Z70" s="15">
        <v>0</v>
      </c>
      <c r="AA70" s="7">
        <f t="shared" si="31"/>
        <v>0</v>
      </c>
      <c r="AB70" s="15">
        <v>0</v>
      </c>
      <c r="AC70" s="14">
        <f t="shared" si="32"/>
        <v>0</v>
      </c>
      <c r="AD70" s="14">
        <f t="shared" si="18"/>
        <v>0</v>
      </c>
      <c r="AE70" s="14">
        <f t="shared" si="19"/>
        <v>0</v>
      </c>
      <c r="AF70" s="15">
        <v>15.9</v>
      </c>
      <c r="AG70" s="7">
        <f t="shared" si="40"/>
        <v>172212.55434782611</v>
      </c>
      <c r="AH70" s="15">
        <v>0</v>
      </c>
      <c r="AI70" s="7">
        <f t="shared" si="34"/>
        <v>0</v>
      </c>
      <c r="AJ70" s="15">
        <v>0</v>
      </c>
      <c r="AK70" s="14">
        <f t="shared" si="41"/>
        <v>0</v>
      </c>
      <c r="AL70" s="15">
        <v>0</v>
      </c>
      <c r="AM70" s="7">
        <f t="shared" si="36"/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7">
        <f t="shared" si="42"/>
        <v>0</v>
      </c>
      <c r="AT70" s="14">
        <f t="shared" si="20"/>
        <v>15.9</v>
      </c>
      <c r="AU70" s="14">
        <f t="shared" si="20"/>
        <v>172212.55434782611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15018</v>
      </c>
      <c r="BQ70" s="15">
        <v>3000</v>
      </c>
      <c r="BR70" s="14">
        <f t="shared" si="21"/>
        <v>18018</v>
      </c>
      <c r="BS70" s="15">
        <v>6900</v>
      </c>
      <c r="BT70" s="15">
        <v>0</v>
      </c>
      <c r="BU70" s="15">
        <v>0</v>
      </c>
      <c r="BV70" s="14">
        <f t="shared" si="22"/>
        <v>6900</v>
      </c>
      <c r="BW70" s="15">
        <v>14351</v>
      </c>
      <c r="BX70" s="15">
        <v>1722</v>
      </c>
      <c r="BY70" s="15">
        <v>14351</v>
      </c>
      <c r="BZ70" s="15">
        <v>7474</v>
      </c>
      <c r="CA70" s="15">
        <v>0</v>
      </c>
      <c r="CB70" s="15">
        <v>37898</v>
      </c>
      <c r="CC70" s="15">
        <v>235029</v>
      </c>
      <c r="CD70" s="15">
        <v>14103</v>
      </c>
      <c r="CE70" s="15">
        <v>0</v>
      </c>
      <c r="CF70" s="14">
        <f t="shared" si="23"/>
        <v>249131.55434782611</v>
      </c>
      <c r="CG70" s="18"/>
      <c r="CH70" s="16"/>
      <c r="CI70" s="17"/>
      <c r="CJ70" s="17"/>
    </row>
    <row r="71" spans="1:88" s="13" customFormat="1" x14ac:dyDescent="0.35">
      <c r="A71" s="13">
        <v>1073251036</v>
      </c>
      <c r="B71" s="17" t="s">
        <v>95</v>
      </c>
      <c r="C71" s="17" t="s">
        <v>83</v>
      </c>
      <c r="D71" s="17" t="s">
        <v>286</v>
      </c>
      <c r="E71" s="17">
        <v>6563</v>
      </c>
      <c r="F71" s="17" t="s">
        <v>84</v>
      </c>
      <c r="G71" s="17" t="s">
        <v>85</v>
      </c>
      <c r="H71" s="17">
        <v>1073251036</v>
      </c>
      <c r="I71" s="17" t="s">
        <v>172</v>
      </c>
      <c r="J71" s="17" t="s">
        <v>94</v>
      </c>
      <c r="K71" s="17">
        <v>0</v>
      </c>
      <c r="L71" s="17">
        <v>0</v>
      </c>
      <c r="M71" s="17" t="s">
        <v>96</v>
      </c>
      <c r="N71" s="19">
        <v>45748</v>
      </c>
      <c r="O71" s="19">
        <v>45838</v>
      </c>
      <c r="P71" s="20">
        <v>1423500</v>
      </c>
      <c r="Q71" s="17">
        <v>0</v>
      </c>
      <c r="R71" s="14">
        <f t="shared" si="17"/>
        <v>0</v>
      </c>
      <c r="S71" s="15">
        <v>0</v>
      </c>
      <c r="T71" s="15">
        <v>3</v>
      </c>
      <c r="U71" s="7">
        <f>+P71/230*T71*1.25</f>
        <v>23209.239130434784</v>
      </c>
      <c r="V71" s="15">
        <v>3</v>
      </c>
      <c r="W71" s="7">
        <f>+P71/230*V71*1.75</f>
        <v>32492.9347826087</v>
      </c>
      <c r="X71" s="15">
        <v>0</v>
      </c>
      <c r="Y71" s="7">
        <f t="shared" si="28"/>
        <v>0</v>
      </c>
      <c r="Z71" s="15">
        <v>0</v>
      </c>
      <c r="AA71" s="7">
        <f t="shared" si="31"/>
        <v>0</v>
      </c>
      <c r="AB71" s="15">
        <v>0</v>
      </c>
      <c r="AC71" s="14">
        <f t="shared" si="32"/>
        <v>0</v>
      </c>
      <c r="AD71" s="14">
        <f t="shared" si="18"/>
        <v>6</v>
      </c>
      <c r="AE71" s="14">
        <f t="shared" si="19"/>
        <v>55702.173913043487</v>
      </c>
      <c r="AF71" s="15">
        <v>14.85</v>
      </c>
      <c r="AG71" s="7">
        <f>+P71/230*AF71*1.8</f>
        <v>165435.45652173914</v>
      </c>
      <c r="AH71" s="15">
        <v>0</v>
      </c>
      <c r="AI71" s="7">
        <f t="shared" si="34"/>
        <v>0</v>
      </c>
      <c r="AJ71" s="15">
        <v>12.98</v>
      </c>
      <c r="AK71" s="14">
        <f>+P71/230*AJ71*2.1</f>
        <v>168703.31739130439</v>
      </c>
      <c r="AL71" s="15">
        <v>0</v>
      </c>
      <c r="AM71" s="7">
        <f t="shared" si="36"/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59.83</v>
      </c>
      <c r="AS71" s="7">
        <f>+P71/230*AR71*0.35</f>
        <v>129603.48586956521</v>
      </c>
      <c r="AT71" s="14">
        <f t="shared" si="20"/>
        <v>87.66</v>
      </c>
      <c r="AU71" s="14">
        <f t="shared" si="20"/>
        <v>463742.25978260877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56108</v>
      </c>
      <c r="BQ71" s="15">
        <v>11400</v>
      </c>
      <c r="BR71" s="14">
        <f t="shared" si="21"/>
        <v>67508</v>
      </c>
      <c r="BS71" s="15">
        <v>20600</v>
      </c>
      <c r="BT71" s="15">
        <v>0</v>
      </c>
      <c r="BU71" s="15">
        <v>0</v>
      </c>
      <c r="BV71" s="14">
        <f t="shared" si="22"/>
        <v>20600</v>
      </c>
      <c r="BW71" s="15">
        <v>42902</v>
      </c>
      <c r="BX71" s="15">
        <v>5148</v>
      </c>
      <c r="BY71" s="15">
        <v>42902</v>
      </c>
      <c r="BZ71" s="15">
        <v>22344</v>
      </c>
      <c r="CA71" s="15">
        <v>0</v>
      </c>
      <c r="CB71" s="15">
        <v>113296</v>
      </c>
      <c r="CC71" s="15">
        <v>716252</v>
      </c>
      <c r="CD71" s="15">
        <v>38379</v>
      </c>
      <c r="CE71" s="15">
        <v>0</v>
      </c>
      <c r="CF71" s="14">
        <f t="shared" si="23"/>
        <v>759227.43369565229</v>
      </c>
      <c r="CG71" s="18"/>
      <c r="CH71" s="16"/>
      <c r="CI71" s="17"/>
      <c r="CJ71" s="17"/>
    </row>
    <row r="72" spans="1:88" s="13" customFormat="1" x14ac:dyDescent="0.35">
      <c r="A72" s="13">
        <v>1007702224</v>
      </c>
      <c r="B72" s="17" t="s">
        <v>95</v>
      </c>
      <c r="C72" s="17" t="s">
        <v>83</v>
      </c>
      <c r="D72" s="17" t="s">
        <v>286</v>
      </c>
      <c r="E72" s="17">
        <v>6563</v>
      </c>
      <c r="F72" s="17" t="s">
        <v>84</v>
      </c>
      <c r="G72" s="17" t="s">
        <v>85</v>
      </c>
      <c r="H72" s="17">
        <v>1007702224</v>
      </c>
      <c r="I72" s="17" t="s">
        <v>173</v>
      </c>
      <c r="J72" s="17" t="s">
        <v>94</v>
      </c>
      <c r="K72" s="17">
        <v>0</v>
      </c>
      <c r="L72" s="17">
        <v>0</v>
      </c>
      <c r="M72" s="17" t="s">
        <v>96</v>
      </c>
      <c r="N72" s="19">
        <v>45748</v>
      </c>
      <c r="O72" s="19">
        <v>45838</v>
      </c>
      <c r="P72" s="20">
        <v>1423500</v>
      </c>
      <c r="Q72" s="17">
        <v>0</v>
      </c>
      <c r="R72" s="14">
        <f t="shared" si="17"/>
        <v>0</v>
      </c>
      <c r="S72" s="15">
        <v>0</v>
      </c>
      <c r="T72" s="15">
        <v>2</v>
      </c>
      <c r="U72" s="7">
        <f t="shared" ref="U72:U73" si="43">+P72/230*T72*1.25</f>
        <v>15472.826086956522</v>
      </c>
      <c r="V72" s="15">
        <v>9.75</v>
      </c>
      <c r="W72" s="7">
        <f t="shared" ref="W72:W73" si="44">+P72/230*V72*1.75</f>
        <v>105602.03804347827</v>
      </c>
      <c r="X72" s="15">
        <v>0</v>
      </c>
      <c r="Y72" s="7">
        <f t="shared" si="28"/>
        <v>0</v>
      </c>
      <c r="Z72" s="15">
        <v>0</v>
      </c>
      <c r="AA72" s="7">
        <f t="shared" si="31"/>
        <v>0</v>
      </c>
      <c r="AB72" s="15">
        <v>0</v>
      </c>
      <c r="AC72" s="14">
        <f t="shared" si="32"/>
        <v>0</v>
      </c>
      <c r="AD72" s="14">
        <f t="shared" si="18"/>
        <v>11.75</v>
      </c>
      <c r="AE72" s="14">
        <f t="shared" si="19"/>
        <v>121074.8641304348</v>
      </c>
      <c r="AF72" s="15">
        <v>7</v>
      </c>
      <c r="AG72" s="7">
        <f t="shared" ref="AG72:AG73" si="45">+P72/230*AF72*1.75</f>
        <v>75816.84782608696</v>
      </c>
      <c r="AH72" s="15">
        <v>0</v>
      </c>
      <c r="AI72" s="7">
        <f t="shared" si="34"/>
        <v>0</v>
      </c>
      <c r="AJ72" s="15">
        <v>13</v>
      </c>
      <c r="AK72" s="14">
        <f>+P72/230*AJ72*2.1</f>
        <v>168963.26086956525</v>
      </c>
      <c r="AL72" s="15">
        <v>0</v>
      </c>
      <c r="AM72" s="7">
        <f t="shared" si="36"/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49.3</v>
      </c>
      <c r="AS72" s="7">
        <f t="shared" ref="AS72:AS73" si="46">+P72/230*AR72*0.35</f>
        <v>106793.4456521739</v>
      </c>
      <c r="AT72" s="14">
        <f t="shared" si="20"/>
        <v>69.3</v>
      </c>
      <c r="AU72" s="14">
        <f t="shared" si="20"/>
        <v>351573.55434782611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51184</v>
      </c>
      <c r="BQ72" s="15">
        <v>10400</v>
      </c>
      <c r="BR72" s="14">
        <f t="shared" si="21"/>
        <v>61584</v>
      </c>
      <c r="BS72" s="15">
        <v>18900</v>
      </c>
      <c r="BT72" s="15">
        <v>0</v>
      </c>
      <c r="BU72" s="15">
        <v>0</v>
      </c>
      <c r="BV72" s="14">
        <f t="shared" si="22"/>
        <v>18900</v>
      </c>
      <c r="BW72" s="15">
        <v>39386</v>
      </c>
      <c r="BX72" s="15">
        <v>4726</v>
      </c>
      <c r="BY72" s="15">
        <v>39386</v>
      </c>
      <c r="BZ72" s="15">
        <v>20513</v>
      </c>
      <c r="CA72" s="15">
        <v>0</v>
      </c>
      <c r="CB72" s="15">
        <v>104011</v>
      </c>
      <c r="CC72" s="15">
        <v>657143</v>
      </c>
      <c r="CD72" s="15">
        <v>39430</v>
      </c>
      <c r="CE72" s="15">
        <v>0</v>
      </c>
      <c r="CF72" s="14">
        <f t="shared" si="23"/>
        <v>696573.41847826098</v>
      </c>
      <c r="CG72" s="18"/>
      <c r="CH72" s="16"/>
      <c r="CI72" s="17"/>
      <c r="CJ72" s="17"/>
    </row>
    <row r="73" spans="1:88" s="13" customFormat="1" x14ac:dyDescent="0.35">
      <c r="A73" s="13">
        <v>1006024055</v>
      </c>
      <c r="B73" s="17" t="s">
        <v>95</v>
      </c>
      <c r="C73" s="17" t="s">
        <v>83</v>
      </c>
      <c r="D73" s="17" t="s">
        <v>286</v>
      </c>
      <c r="E73" s="17">
        <v>6563</v>
      </c>
      <c r="F73" s="17" t="s">
        <v>84</v>
      </c>
      <c r="G73" s="17" t="s">
        <v>85</v>
      </c>
      <c r="H73" s="17">
        <v>1006024055</v>
      </c>
      <c r="I73" s="17" t="s">
        <v>174</v>
      </c>
      <c r="J73" s="17" t="s">
        <v>94</v>
      </c>
      <c r="K73" s="17">
        <v>0</v>
      </c>
      <c r="L73" s="17">
        <v>0</v>
      </c>
      <c r="M73" s="17" t="s">
        <v>96</v>
      </c>
      <c r="N73" s="19">
        <v>45748</v>
      </c>
      <c r="O73" s="19">
        <v>45838</v>
      </c>
      <c r="P73" s="20">
        <v>1423500</v>
      </c>
      <c r="Q73" s="17">
        <v>0</v>
      </c>
      <c r="R73" s="14">
        <f t="shared" si="17"/>
        <v>0</v>
      </c>
      <c r="S73" s="15">
        <v>0</v>
      </c>
      <c r="T73" s="15">
        <v>0</v>
      </c>
      <c r="U73" s="7">
        <f t="shared" si="43"/>
        <v>0</v>
      </c>
      <c r="V73" s="15">
        <v>0</v>
      </c>
      <c r="W73" s="7">
        <f t="shared" si="44"/>
        <v>0</v>
      </c>
      <c r="X73" s="15">
        <v>0</v>
      </c>
      <c r="Y73" s="7">
        <f t="shared" si="28"/>
        <v>0</v>
      </c>
      <c r="Z73" s="15">
        <v>0</v>
      </c>
      <c r="AA73" s="7">
        <f t="shared" si="31"/>
        <v>0</v>
      </c>
      <c r="AB73" s="15">
        <v>0</v>
      </c>
      <c r="AC73" s="14">
        <f t="shared" si="32"/>
        <v>0</v>
      </c>
      <c r="AD73" s="14">
        <f t="shared" si="18"/>
        <v>0</v>
      </c>
      <c r="AE73" s="14">
        <f t="shared" si="19"/>
        <v>0</v>
      </c>
      <c r="AF73" s="15">
        <v>23.72</v>
      </c>
      <c r="AG73" s="7">
        <f t="shared" si="45"/>
        <v>256910.80434782611</v>
      </c>
      <c r="AH73" s="15">
        <v>0</v>
      </c>
      <c r="AI73" s="7">
        <f t="shared" si="34"/>
        <v>0</v>
      </c>
      <c r="AJ73" s="15">
        <v>0</v>
      </c>
      <c r="AK73" s="14">
        <f t="shared" si="35"/>
        <v>0</v>
      </c>
      <c r="AL73" s="15">
        <v>0</v>
      </c>
      <c r="AM73" s="7">
        <f t="shared" si="36"/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7">
        <f t="shared" si="46"/>
        <v>0</v>
      </c>
      <c r="AT73" s="14">
        <f t="shared" si="20"/>
        <v>23.72</v>
      </c>
      <c r="AU73" s="14">
        <f t="shared" si="20"/>
        <v>256910.80434782611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25244</v>
      </c>
      <c r="BQ73" s="15">
        <v>5100</v>
      </c>
      <c r="BR73" s="14">
        <f t="shared" si="21"/>
        <v>30344</v>
      </c>
      <c r="BS73" s="15">
        <v>10300</v>
      </c>
      <c r="BT73" s="15">
        <v>0</v>
      </c>
      <c r="BU73" s="15">
        <v>0</v>
      </c>
      <c r="BV73" s="14">
        <f t="shared" si="22"/>
        <v>10300</v>
      </c>
      <c r="BW73" s="15">
        <v>21408</v>
      </c>
      <c r="BX73" s="15">
        <v>2569</v>
      </c>
      <c r="BY73" s="15">
        <v>21408</v>
      </c>
      <c r="BZ73" s="15">
        <v>11150</v>
      </c>
      <c r="CA73" s="15">
        <v>0</v>
      </c>
      <c r="CB73" s="15">
        <v>56535</v>
      </c>
      <c r="CC73" s="15">
        <v>354090</v>
      </c>
      <c r="CD73" s="15">
        <v>21244</v>
      </c>
      <c r="CE73" s="15">
        <v>0</v>
      </c>
      <c r="CF73" s="14">
        <f t="shared" si="23"/>
        <v>375333.80434782611</v>
      </c>
      <c r="CG73" s="18"/>
      <c r="CH73" s="16"/>
      <c r="CI73" s="15"/>
      <c r="CJ73" s="15"/>
    </row>
    <row r="74" spans="1:88" s="13" customFormat="1" x14ac:dyDescent="0.35">
      <c r="A74" s="13">
        <v>1088007765</v>
      </c>
      <c r="B74" s="17" t="s">
        <v>95</v>
      </c>
      <c r="C74" s="17" t="s">
        <v>83</v>
      </c>
      <c r="D74" s="17" t="s">
        <v>286</v>
      </c>
      <c r="E74" s="17">
        <v>5358</v>
      </c>
      <c r="F74" s="17" t="s">
        <v>90</v>
      </c>
      <c r="G74" s="17" t="s">
        <v>91</v>
      </c>
      <c r="H74" s="17">
        <v>1088007765</v>
      </c>
      <c r="I74" s="17" t="s">
        <v>175</v>
      </c>
      <c r="J74" s="17" t="s">
        <v>94</v>
      </c>
      <c r="K74" s="17">
        <v>0</v>
      </c>
      <c r="L74" s="17">
        <v>0</v>
      </c>
      <c r="M74" s="17" t="s">
        <v>96</v>
      </c>
      <c r="N74" s="19">
        <v>45750</v>
      </c>
      <c r="O74" s="19">
        <v>1</v>
      </c>
      <c r="P74" s="20">
        <v>782925</v>
      </c>
      <c r="Q74" s="17">
        <v>30</v>
      </c>
      <c r="R74" s="14">
        <f t="shared" si="17"/>
        <v>782925</v>
      </c>
      <c r="S74" s="15">
        <v>200000</v>
      </c>
      <c r="T74" s="15">
        <v>12.37</v>
      </c>
      <c r="U74" s="7">
        <f t="shared" ref="U74:U76" si="47">+P74/110*T74*1.25</f>
        <v>110054.34374999999</v>
      </c>
      <c r="V74" s="15">
        <v>0</v>
      </c>
      <c r="W74" s="7">
        <f t="shared" ref="W74:W76" si="48">+P74/110*V74*1.75</f>
        <v>0</v>
      </c>
      <c r="X74" s="15">
        <v>0</v>
      </c>
      <c r="Y74" s="7">
        <f t="shared" si="28"/>
        <v>0</v>
      </c>
      <c r="Z74" s="15">
        <v>0</v>
      </c>
      <c r="AA74" s="7">
        <f t="shared" si="31"/>
        <v>0</v>
      </c>
      <c r="AB74" s="15">
        <v>0</v>
      </c>
      <c r="AC74" s="14">
        <f t="shared" si="32"/>
        <v>0</v>
      </c>
      <c r="AD74" s="14">
        <f t="shared" si="18"/>
        <v>12.37</v>
      </c>
      <c r="AE74" s="14">
        <f t="shared" si="19"/>
        <v>110054.34374999999</v>
      </c>
      <c r="AF74" s="15">
        <v>4</v>
      </c>
      <c r="AG74" s="7">
        <f t="shared" ref="AG74:AG76" si="49">+P74/110*AF74*1.8</f>
        <v>51246</v>
      </c>
      <c r="AH74" s="15">
        <v>0</v>
      </c>
      <c r="AI74" s="7">
        <f t="shared" si="34"/>
        <v>0</v>
      </c>
      <c r="AJ74" s="15">
        <v>0</v>
      </c>
      <c r="AK74" s="14">
        <f t="shared" si="35"/>
        <v>0</v>
      </c>
      <c r="AL74" s="15">
        <v>0</v>
      </c>
      <c r="AM74" s="7">
        <f t="shared" si="36"/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22.22</v>
      </c>
      <c r="AS74" s="7">
        <f t="shared" ref="AS74:AS76" si="50">+P74/110*AR74*0.35</f>
        <v>55352.797500000001</v>
      </c>
      <c r="AT74" s="14">
        <f t="shared" si="20"/>
        <v>26.22</v>
      </c>
      <c r="AU74" s="14">
        <f t="shared" si="20"/>
        <v>106598.7975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195069</v>
      </c>
      <c r="BD74" s="15">
        <v>0</v>
      </c>
      <c r="BE74" s="15">
        <v>197497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170860</v>
      </c>
      <c r="BQ74" s="15">
        <v>34700</v>
      </c>
      <c r="BR74" s="14">
        <f t="shared" si="21"/>
        <v>205560</v>
      </c>
      <c r="BS74" s="15">
        <v>40000</v>
      </c>
      <c r="BT74" s="15">
        <v>0</v>
      </c>
      <c r="BU74" s="15">
        <v>0</v>
      </c>
      <c r="BV74" s="14">
        <f t="shared" si="22"/>
        <v>40000</v>
      </c>
      <c r="BW74" s="15">
        <v>99961</v>
      </c>
      <c r="BX74" s="15">
        <v>11996</v>
      </c>
      <c r="BY74" s="15">
        <v>99961</v>
      </c>
      <c r="BZ74" s="15">
        <v>43381</v>
      </c>
      <c r="CA74" s="15">
        <v>0</v>
      </c>
      <c r="CB74" s="15">
        <v>255299</v>
      </c>
      <c r="CC74" s="15">
        <v>2093004</v>
      </c>
      <c r="CD74" s="15">
        <v>125579</v>
      </c>
      <c r="CE74" s="15">
        <v>0</v>
      </c>
      <c r="CF74" s="14">
        <f t="shared" si="23"/>
        <v>2218582.1412499999</v>
      </c>
      <c r="CG74" s="18"/>
      <c r="CH74" s="16"/>
      <c r="CI74" s="17"/>
      <c r="CJ74" s="17"/>
    </row>
    <row r="75" spans="1:88" s="13" customFormat="1" x14ac:dyDescent="0.35">
      <c r="A75" s="13">
        <v>1143377373</v>
      </c>
      <c r="B75" s="17" t="s">
        <v>95</v>
      </c>
      <c r="C75" s="17" t="s">
        <v>83</v>
      </c>
      <c r="D75" s="17" t="s">
        <v>286</v>
      </c>
      <c r="E75" s="17">
        <v>1980</v>
      </c>
      <c r="F75" s="17" t="s">
        <v>92</v>
      </c>
      <c r="G75" s="17" t="s">
        <v>93</v>
      </c>
      <c r="H75" s="17">
        <v>1143377373</v>
      </c>
      <c r="I75" s="17" t="s">
        <v>176</v>
      </c>
      <c r="J75" s="17" t="s">
        <v>94</v>
      </c>
      <c r="K75" s="17">
        <v>0</v>
      </c>
      <c r="L75" s="17">
        <v>0</v>
      </c>
      <c r="M75" s="17" t="s">
        <v>96</v>
      </c>
      <c r="N75" s="19">
        <v>45750</v>
      </c>
      <c r="O75" s="19">
        <v>1</v>
      </c>
      <c r="P75" s="20">
        <v>782925</v>
      </c>
      <c r="Q75" s="17">
        <v>30</v>
      </c>
      <c r="R75" s="14">
        <f t="shared" si="17"/>
        <v>782925</v>
      </c>
      <c r="S75" s="15">
        <v>200000</v>
      </c>
      <c r="T75" s="15">
        <v>6.69</v>
      </c>
      <c r="U75" s="7">
        <f t="shared" si="47"/>
        <v>59520.093750000007</v>
      </c>
      <c r="V75" s="15">
        <v>0</v>
      </c>
      <c r="W75" s="7">
        <f t="shared" si="48"/>
        <v>0</v>
      </c>
      <c r="X75" s="15">
        <v>0</v>
      </c>
      <c r="Y75" s="7">
        <f t="shared" si="28"/>
        <v>0</v>
      </c>
      <c r="Z75" s="15">
        <v>0</v>
      </c>
      <c r="AA75" s="7">
        <f t="shared" si="31"/>
        <v>0</v>
      </c>
      <c r="AB75" s="15">
        <v>0</v>
      </c>
      <c r="AC75" s="14">
        <f t="shared" si="32"/>
        <v>0</v>
      </c>
      <c r="AD75" s="14">
        <f t="shared" si="18"/>
        <v>6.69</v>
      </c>
      <c r="AE75" s="14">
        <f t="shared" si="19"/>
        <v>59520.093750000007</v>
      </c>
      <c r="AF75" s="15">
        <v>0</v>
      </c>
      <c r="AG75" s="7">
        <f t="shared" si="49"/>
        <v>0</v>
      </c>
      <c r="AH75" s="15">
        <v>0</v>
      </c>
      <c r="AI75" s="7">
        <f t="shared" si="34"/>
        <v>0</v>
      </c>
      <c r="AJ75" s="15">
        <v>0</v>
      </c>
      <c r="AK75" s="14">
        <f t="shared" si="35"/>
        <v>0</v>
      </c>
      <c r="AL75" s="15">
        <v>0</v>
      </c>
      <c r="AM75" s="7">
        <f t="shared" si="36"/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5</v>
      </c>
      <c r="AS75" s="7">
        <f t="shared" si="50"/>
        <v>12455.625</v>
      </c>
      <c r="AT75" s="14">
        <f t="shared" si="20"/>
        <v>5</v>
      </c>
      <c r="AU75" s="14">
        <f t="shared" si="20"/>
        <v>12455.625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260092</v>
      </c>
      <c r="BD75" s="15">
        <v>0</v>
      </c>
      <c r="BE75" s="15">
        <v>328224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170860</v>
      </c>
      <c r="BQ75" s="15">
        <v>34700</v>
      </c>
      <c r="BR75" s="14">
        <f t="shared" si="21"/>
        <v>205560</v>
      </c>
      <c r="BS75" s="15">
        <v>34200</v>
      </c>
      <c r="BT75" s="15">
        <v>0</v>
      </c>
      <c r="BU75" s="15">
        <v>0</v>
      </c>
      <c r="BV75" s="14">
        <f t="shared" si="22"/>
        <v>34200</v>
      </c>
      <c r="BW75" s="15">
        <v>87905</v>
      </c>
      <c r="BX75" s="15">
        <v>10549</v>
      </c>
      <c r="BY75" s="15">
        <v>87905</v>
      </c>
      <c r="BZ75" s="15">
        <v>37102</v>
      </c>
      <c r="CA75" s="15">
        <v>0</v>
      </c>
      <c r="CB75" s="15">
        <v>223461</v>
      </c>
      <c r="CC75" s="15">
        <v>2106439</v>
      </c>
      <c r="CD75" s="15">
        <v>126386</v>
      </c>
      <c r="CE75" s="15">
        <v>0</v>
      </c>
      <c r="CF75" s="14">
        <f t="shared" si="23"/>
        <v>2232823.71875</v>
      </c>
      <c r="CG75" s="18"/>
      <c r="CH75" s="16"/>
      <c r="CI75" s="17"/>
      <c r="CJ75" s="17"/>
    </row>
    <row r="76" spans="1:88" s="13" customFormat="1" x14ac:dyDescent="0.35">
      <c r="A76" s="13">
        <v>1144192557</v>
      </c>
      <c r="B76" s="17" t="s">
        <v>95</v>
      </c>
      <c r="C76" s="17" t="s">
        <v>83</v>
      </c>
      <c r="D76" s="17" t="s">
        <v>286</v>
      </c>
      <c r="E76" s="17">
        <v>1980</v>
      </c>
      <c r="F76" s="17" t="s">
        <v>92</v>
      </c>
      <c r="G76" s="17" t="s">
        <v>93</v>
      </c>
      <c r="H76" s="17">
        <v>1144192557</v>
      </c>
      <c r="I76" s="17" t="s">
        <v>177</v>
      </c>
      <c r="J76" s="17" t="s">
        <v>94</v>
      </c>
      <c r="K76" s="17">
        <v>0</v>
      </c>
      <c r="L76" s="17">
        <v>0</v>
      </c>
      <c r="M76" s="17" t="s">
        <v>96</v>
      </c>
      <c r="N76" s="19">
        <v>45750</v>
      </c>
      <c r="O76" s="19">
        <v>1</v>
      </c>
      <c r="P76" s="20">
        <v>782925</v>
      </c>
      <c r="Q76" s="17">
        <v>30</v>
      </c>
      <c r="R76" s="14">
        <f t="shared" si="17"/>
        <v>782925</v>
      </c>
      <c r="S76" s="15">
        <v>200000</v>
      </c>
      <c r="T76" s="15">
        <v>7.47</v>
      </c>
      <c r="U76" s="7">
        <f t="shared" si="47"/>
        <v>66459.65625</v>
      </c>
      <c r="V76" s="15">
        <v>0</v>
      </c>
      <c r="W76" s="7">
        <f t="shared" si="48"/>
        <v>0</v>
      </c>
      <c r="X76" s="15">
        <v>0</v>
      </c>
      <c r="Y76" s="7">
        <f t="shared" si="28"/>
        <v>0</v>
      </c>
      <c r="Z76" s="15">
        <v>0</v>
      </c>
      <c r="AA76" s="7">
        <f t="shared" si="31"/>
        <v>0</v>
      </c>
      <c r="AB76" s="15">
        <v>0</v>
      </c>
      <c r="AC76" s="14">
        <f t="shared" si="32"/>
        <v>0</v>
      </c>
      <c r="AD76" s="14">
        <f t="shared" si="18"/>
        <v>7.47</v>
      </c>
      <c r="AE76" s="14">
        <f t="shared" si="19"/>
        <v>66459.65625</v>
      </c>
      <c r="AF76" s="15">
        <v>2.97</v>
      </c>
      <c r="AG76" s="7">
        <f t="shared" si="49"/>
        <v>38050.155000000006</v>
      </c>
      <c r="AH76" s="15">
        <v>0</v>
      </c>
      <c r="AI76" s="7">
        <f t="shared" si="34"/>
        <v>0</v>
      </c>
      <c r="AJ76" s="15">
        <v>0</v>
      </c>
      <c r="AK76" s="14">
        <f t="shared" si="35"/>
        <v>0</v>
      </c>
      <c r="AL76" s="15">
        <v>0</v>
      </c>
      <c r="AM76" s="7">
        <f t="shared" si="36"/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6</v>
      </c>
      <c r="AS76" s="7">
        <f t="shared" si="50"/>
        <v>14946.749999999998</v>
      </c>
      <c r="AT76" s="14">
        <f t="shared" si="20"/>
        <v>8.9700000000000006</v>
      </c>
      <c r="AU76" s="14">
        <f t="shared" si="20"/>
        <v>52996.905000000006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260092</v>
      </c>
      <c r="BD76" s="15">
        <v>0</v>
      </c>
      <c r="BE76" s="15">
        <v>328224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170860</v>
      </c>
      <c r="BQ76" s="15">
        <v>34700</v>
      </c>
      <c r="BR76" s="14">
        <f t="shared" si="21"/>
        <v>205560</v>
      </c>
      <c r="BS76" s="15">
        <v>36100</v>
      </c>
      <c r="BT76" s="15">
        <v>0</v>
      </c>
      <c r="BU76" s="15">
        <v>0</v>
      </c>
      <c r="BV76" s="14">
        <f t="shared" si="22"/>
        <v>36100</v>
      </c>
      <c r="BW76" s="15">
        <v>91862</v>
      </c>
      <c r="BX76" s="15">
        <v>11024</v>
      </c>
      <c r="BY76" s="15">
        <v>91862</v>
      </c>
      <c r="BZ76" s="15">
        <v>39163</v>
      </c>
      <c r="CA76" s="15">
        <v>0</v>
      </c>
      <c r="CB76" s="15">
        <v>233911</v>
      </c>
      <c r="CC76" s="15">
        <v>2166270</v>
      </c>
      <c r="CD76" s="15">
        <v>129976</v>
      </c>
      <c r="CE76" s="15">
        <v>0</v>
      </c>
      <c r="CF76" s="14">
        <f t="shared" si="23"/>
        <v>2296244.5612500003</v>
      </c>
      <c r="CG76" s="18"/>
      <c r="CH76" s="16"/>
      <c r="CI76" s="17"/>
      <c r="CJ76" s="15"/>
    </row>
    <row r="77" spans="1:88" s="13" customFormat="1" x14ac:dyDescent="0.35">
      <c r="A77" s="13">
        <v>1000596038</v>
      </c>
      <c r="B77" s="17" t="s">
        <v>95</v>
      </c>
      <c r="C77" s="17" t="s">
        <v>83</v>
      </c>
      <c r="D77" s="17" t="s">
        <v>286</v>
      </c>
      <c r="E77" s="17">
        <v>6563</v>
      </c>
      <c r="F77" s="17" t="s">
        <v>84</v>
      </c>
      <c r="G77" s="17" t="s">
        <v>85</v>
      </c>
      <c r="H77" s="17">
        <v>1000596038</v>
      </c>
      <c r="I77" s="17" t="s">
        <v>178</v>
      </c>
      <c r="J77" s="17" t="s">
        <v>94</v>
      </c>
      <c r="K77" s="17">
        <v>0</v>
      </c>
      <c r="L77" s="17">
        <v>0</v>
      </c>
      <c r="M77" s="17" t="s">
        <v>96</v>
      </c>
      <c r="N77" s="19">
        <v>45754</v>
      </c>
      <c r="O77" s="19">
        <v>45854</v>
      </c>
      <c r="P77" s="20">
        <v>1423500</v>
      </c>
      <c r="Q77" s="17">
        <v>1</v>
      </c>
      <c r="R77" s="14">
        <f t="shared" si="17"/>
        <v>47450</v>
      </c>
      <c r="S77" s="15">
        <v>6667</v>
      </c>
      <c r="T77" s="15">
        <v>0</v>
      </c>
      <c r="U77" s="7">
        <f t="shared" si="29"/>
        <v>0</v>
      </c>
      <c r="V77" s="15">
        <v>0</v>
      </c>
      <c r="W77" s="7">
        <f t="shared" si="30"/>
        <v>0</v>
      </c>
      <c r="X77" s="15">
        <v>0</v>
      </c>
      <c r="Y77" s="7">
        <f t="shared" si="28"/>
        <v>0</v>
      </c>
      <c r="Z77" s="15">
        <v>0</v>
      </c>
      <c r="AA77" s="7">
        <f t="shared" si="31"/>
        <v>0</v>
      </c>
      <c r="AB77" s="15">
        <v>0</v>
      </c>
      <c r="AC77" s="14">
        <f t="shared" si="32"/>
        <v>0</v>
      </c>
      <c r="AD77" s="14">
        <f t="shared" si="18"/>
        <v>0</v>
      </c>
      <c r="AE77" s="14">
        <f t="shared" si="19"/>
        <v>0</v>
      </c>
      <c r="AF77" s="15">
        <v>0</v>
      </c>
      <c r="AG77" s="7">
        <f t="shared" si="33"/>
        <v>0</v>
      </c>
      <c r="AH77" s="15">
        <v>0</v>
      </c>
      <c r="AI77" s="7">
        <f t="shared" si="34"/>
        <v>0</v>
      </c>
      <c r="AJ77" s="15">
        <v>0</v>
      </c>
      <c r="AK77" s="14">
        <f t="shared" si="35"/>
        <v>0</v>
      </c>
      <c r="AL77" s="15">
        <v>0</v>
      </c>
      <c r="AM77" s="7">
        <f t="shared" si="36"/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7">
        <f t="shared" si="37"/>
        <v>0</v>
      </c>
      <c r="AT77" s="14">
        <f t="shared" si="20"/>
        <v>0</v>
      </c>
      <c r="AU77" s="14">
        <f t="shared" si="20"/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5702</v>
      </c>
      <c r="BQ77" s="15">
        <v>1100</v>
      </c>
      <c r="BR77" s="14">
        <f t="shared" si="21"/>
        <v>6802</v>
      </c>
      <c r="BS77" s="15">
        <v>1900</v>
      </c>
      <c r="BT77" s="15">
        <v>0</v>
      </c>
      <c r="BU77" s="15">
        <v>0</v>
      </c>
      <c r="BV77" s="14">
        <f t="shared" si="22"/>
        <v>1900</v>
      </c>
      <c r="BW77" s="15">
        <v>4510</v>
      </c>
      <c r="BX77" s="15">
        <v>541</v>
      </c>
      <c r="BY77" s="15">
        <v>4510</v>
      </c>
      <c r="BZ77" s="15">
        <v>2059</v>
      </c>
      <c r="CA77" s="15">
        <v>0</v>
      </c>
      <c r="CB77" s="15">
        <v>11620</v>
      </c>
      <c r="CC77" s="15">
        <v>74439</v>
      </c>
      <c r="CD77" s="15">
        <v>4467</v>
      </c>
      <c r="CE77" s="15">
        <v>0</v>
      </c>
      <c r="CF77" s="14">
        <f t="shared" si="23"/>
        <v>78906</v>
      </c>
      <c r="CG77" s="18"/>
      <c r="CH77" s="16"/>
      <c r="CI77" s="15"/>
      <c r="CJ77" s="15"/>
    </row>
    <row r="78" spans="1:88" s="13" customFormat="1" x14ac:dyDescent="0.35">
      <c r="A78" s="13">
        <v>1001329966</v>
      </c>
      <c r="B78" s="17" t="s">
        <v>95</v>
      </c>
      <c r="C78" s="17" t="s">
        <v>83</v>
      </c>
      <c r="D78" s="17" t="s">
        <v>286</v>
      </c>
      <c r="E78" s="17">
        <v>6563</v>
      </c>
      <c r="F78" s="17" t="s">
        <v>84</v>
      </c>
      <c r="G78" s="17" t="s">
        <v>85</v>
      </c>
      <c r="H78" s="17">
        <v>1001329966</v>
      </c>
      <c r="I78" s="17" t="s">
        <v>179</v>
      </c>
      <c r="J78" s="17" t="s">
        <v>94</v>
      </c>
      <c r="K78" s="17">
        <v>0</v>
      </c>
      <c r="L78" s="17">
        <v>0</v>
      </c>
      <c r="M78" s="17" t="s">
        <v>96</v>
      </c>
      <c r="N78" s="19">
        <v>45756</v>
      </c>
      <c r="O78" s="19">
        <v>1</v>
      </c>
      <c r="P78" s="20">
        <v>1423500</v>
      </c>
      <c r="Q78" s="17">
        <v>28</v>
      </c>
      <c r="R78" s="14">
        <f t="shared" si="17"/>
        <v>1328600</v>
      </c>
      <c r="S78" s="15">
        <v>186667</v>
      </c>
      <c r="T78" s="15">
        <v>3.83</v>
      </c>
      <c r="U78" s="7">
        <f t="shared" si="29"/>
        <v>30977.301136363636</v>
      </c>
      <c r="V78" s="15">
        <v>6.5</v>
      </c>
      <c r="W78" s="7">
        <f t="shared" si="30"/>
        <v>73601.420454545456</v>
      </c>
      <c r="X78" s="15">
        <v>0</v>
      </c>
      <c r="Y78" s="7">
        <f t="shared" si="28"/>
        <v>0</v>
      </c>
      <c r="Z78" s="15">
        <v>0</v>
      </c>
      <c r="AA78" s="7">
        <f t="shared" si="31"/>
        <v>0</v>
      </c>
      <c r="AB78" s="15">
        <v>0</v>
      </c>
      <c r="AC78" s="14">
        <f t="shared" si="32"/>
        <v>0</v>
      </c>
      <c r="AD78" s="14">
        <f t="shared" si="18"/>
        <v>10.33</v>
      </c>
      <c r="AE78" s="14">
        <f t="shared" si="19"/>
        <v>104578.72159090909</v>
      </c>
      <c r="AF78" s="15">
        <v>1</v>
      </c>
      <c r="AG78" s="7">
        <f t="shared" si="33"/>
        <v>11646.818181818182</v>
      </c>
      <c r="AH78" s="15">
        <v>0</v>
      </c>
      <c r="AI78" s="7">
        <f t="shared" si="34"/>
        <v>0</v>
      </c>
      <c r="AJ78" s="15">
        <v>5</v>
      </c>
      <c r="AK78" s="14">
        <f t="shared" si="35"/>
        <v>67939.772727272721</v>
      </c>
      <c r="AL78" s="15">
        <v>0</v>
      </c>
      <c r="AM78" s="7">
        <f t="shared" si="36"/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79.94</v>
      </c>
      <c r="AS78" s="7">
        <f t="shared" si="37"/>
        <v>181036.84772727269</v>
      </c>
      <c r="AT78" s="14">
        <f t="shared" si="20"/>
        <v>85.94</v>
      </c>
      <c r="AU78" s="14">
        <f t="shared" si="20"/>
        <v>260623.4386363636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223283</v>
      </c>
      <c r="BQ78" s="15">
        <v>41400</v>
      </c>
      <c r="BR78" s="14">
        <f t="shared" si="21"/>
        <v>264683</v>
      </c>
      <c r="BS78" s="15">
        <v>67900</v>
      </c>
      <c r="BT78" s="15">
        <v>0</v>
      </c>
      <c r="BU78" s="15">
        <v>0</v>
      </c>
      <c r="BV78" s="14">
        <f t="shared" si="22"/>
        <v>67900</v>
      </c>
      <c r="BW78" s="15">
        <v>156834</v>
      </c>
      <c r="BX78" s="15">
        <v>18821</v>
      </c>
      <c r="BY78" s="15">
        <v>156834</v>
      </c>
      <c r="BZ78" s="15">
        <v>73581</v>
      </c>
      <c r="CA78" s="15">
        <v>0</v>
      </c>
      <c r="CB78" s="15">
        <v>406070</v>
      </c>
      <c r="CC78" s="15">
        <v>2620739</v>
      </c>
      <c r="CD78" s="16">
        <v>158860.83977272734</v>
      </c>
      <c r="CE78" s="15">
        <v>0</v>
      </c>
      <c r="CF78" s="14">
        <f t="shared" si="23"/>
        <v>2777983</v>
      </c>
      <c r="CG78" s="18"/>
      <c r="CH78" s="16"/>
      <c r="CI78" s="22"/>
      <c r="CJ78" s="17"/>
    </row>
    <row r="79" spans="1:88" s="13" customFormat="1" x14ac:dyDescent="0.35">
      <c r="A79" s="13">
        <v>1004209496</v>
      </c>
      <c r="B79" s="17" t="s">
        <v>95</v>
      </c>
      <c r="C79" s="17" t="s">
        <v>83</v>
      </c>
      <c r="D79" s="17" t="s">
        <v>286</v>
      </c>
      <c r="E79" s="17">
        <v>6563</v>
      </c>
      <c r="F79" s="17" t="s">
        <v>84</v>
      </c>
      <c r="G79" s="17" t="s">
        <v>85</v>
      </c>
      <c r="H79" s="17">
        <v>1004209496</v>
      </c>
      <c r="I79" s="17" t="s">
        <v>180</v>
      </c>
      <c r="J79" s="17" t="s">
        <v>94</v>
      </c>
      <c r="K79" s="17">
        <v>0</v>
      </c>
      <c r="L79" s="17">
        <v>0</v>
      </c>
      <c r="M79" s="17" t="s">
        <v>96</v>
      </c>
      <c r="N79" s="19">
        <v>45756</v>
      </c>
      <c r="O79" s="19">
        <v>45869</v>
      </c>
      <c r="P79" s="20">
        <v>1423500</v>
      </c>
      <c r="Q79" s="17">
        <v>1</v>
      </c>
      <c r="R79" s="14">
        <f t="shared" si="17"/>
        <v>47450</v>
      </c>
      <c r="S79" s="15">
        <v>6667</v>
      </c>
      <c r="T79" s="15">
        <v>1.67E-2</v>
      </c>
      <c r="U79" s="7">
        <f t="shared" si="29"/>
        <v>135.07073863636361</v>
      </c>
      <c r="V79" s="15">
        <v>16</v>
      </c>
      <c r="W79" s="7">
        <f t="shared" si="30"/>
        <v>181172.72727272726</v>
      </c>
      <c r="X79" s="15">
        <v>0</v>
      </c>
      <c r="Y79" s="7">
        <f t="shared" si="28"/>
        <v>0</v>
      </c>
      <c r="Z79" s="15">
        <v>0</v>
      </c>
      <c r="AA79" s="7">
        <f t="shared" si="31"/>
        <v>0</v>
      </c>
      <c r="AB79" s="15">
        <v>0</v>
      </c>
      <c r="AC79" s="14">
        <f t="shared" si="32"/>
        <v>0</v>
      </c>
      <c r="AD79" s="14">
        <f t="shared" si="18"/>
        <v>16.0167</v>
      </c>
      <c r="AE79" s="14">
        <f t="shared" si="19"/>
        <v>181307.79801136363</v>
      </c>
      <c r="AF79" s="15">
        <v>7</v>
      </c>
      <c r="AG79" s="7">
        <f t="shared" si="33"/>
        <v>81527.727272727265</v>
      </c>
      <c r="AH79" s="15">
        <v>0</v>
      </c>
      <c r="AI79" s="7">
        <f t="shared" si="34"/>
        <v>0</v>
      </c>
      <c r="AJ79" s="15">
        <v>9</v>
      </c>
      <c r="AK79" s="14">
        <f t="shared" si="35"/>
        <v>122291.59090909091</v>
      </c>
      <c r="AL79" s="15">
        <v>0</v>
      </c>
      <c r="AM79" s="7">
        <f t="shared" si="36"/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119.5166</v>
      </c>
      <c r="AS79" s="7">
        <f t="shared" si="37"/>
        <v>270664.3547045454</v>
      </c>
      <c r="AT79" s="14">
        <f t="shared" si="20"/>
        <v>135.51659999999998</v>
      </c>
      <c r="AU79" s="14">
        <f t="shared" si="20"/>
        <v>474483.67288636358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-54117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79104</v>
      </c>
      <c r="BQ79" s="15">
        <v>16100</v>
      </c>
      <c r="BR79" s="14">
        <f t="shared" si="21"/>
        <v>95204</v>
      </c>
      <c r="BS79" s="15">
        <v>26400</v>
      </c>
      <c r="BT79" s="15">
        <v>0</v>
      </c>
      <c r="BU79" s="15">
        <v>0</v>
      </c>
      <c r="BV79" s="14">
        <f t="shared" si="22"/>
        <v>26400</v>
      </c>
      <c r="BW79" s="15">
        <v>54890</v>
      </c>
      <c r="BX79" s="15">
        <v>6587</v>
      </c>
      <c r="BY79" s="15">
        <v>54890</v>
      </c>
      <c r="BZ79" s="15">
        <v>28588</v>
      </c>
      <c r="CA79" s="15">
        <v>0</v>
      </c>
      <c r="CB79" s="15">
        <v>144955</v>
      </c>
      <c r="CC79" s="15">
        <v>925262</v>
      </c>
      <c r="CD79" s="16">
        <v>58425.52910227282</v>
      </c>
      <c r="CE79" s="15">
        <v>0</v>
      </c>
      <c r="CF79" s="14">
        <f t="shared" si="23"/>
        <v>980776</v>
      </c>
      <c r="CG79" s="18"/>
      <c r="CH79" s="16"/>
      <c r="CI79" s="22"/>
      <c r="CJ79" s="17"/>
    </row>
    <row r="80" spans="1:88" s="13" customFormat="1" x14ac:dyDescent="0.35">
      <c r="A80" s="13">
        <v>57273285</v>
      </c>
      <c r="B80" s="17" t="s">
        <v>95</v>
      </c>
      <c r="C80" s="17" t="s">
        <v>83</v>
      </c>
      <c r="D80" s="17" t="s">
        <v>286</v>
      </c>
      <c r="E80" s="17">
        <v>6563</v>
      </c>
      <c r="F80" s="17" t="s">
        <v>84</v>
      </c>
      <c r="G80" s="17" t="s">
        <v>85</v>
      </c>
      <c r="H80" s="17">
        <v>57273285</v>
      </c>
      <c r="I80" s="17" t="s">
        <v>181</v>
      </c>
      <c r="J80" s="17" t="s">
        <v>94</v>
      </c>
      <c r="K80" s="17">
        <v>0</v>
      </c>
      <c r="L80" s="17">
        <v>0</v>
      </c>
      <c r="M80" s="17" t="s">
        <v>96</v>
      </c>
      <c r="N80" s="19">
        <v>45756</v>
      </c>
      <c r="O80" s="19">
        <v>45869</v>
      </c>
      <c r="P80" s="20">
        <v>1423500</v>
      </c>
      <c r="Q80" s="17">
        <v>1</v>
      </c>
      <c r="R80" s="14">
        <f t="shared" si="17"/>
        <v>47450</v>
      </c>
      <c r="S80" s="15">
        <v>6667</v>
      </c>
      <c r="T80" s="15">
        <v>2</v>
      </c>
      <c r="U80" s="7">
        <f t="shared" si="29"/>
        <v>16176.136363636362</v>
      </c>
      <c r="V80" s="15">
        <v>6</v>
      </c>
      <c r="W80" s="7">
        <f t="shared" si="30"/>
        <v>67939.772727272721</v>
      </c>
      <c r="X80" s="15">
        <v>0</v>
      </c>
      <c r="Y80" s="7">
        <f t="shared" si="28"/>
        <v>0</v>
      </c>
      <c r="Z80" s="15">
        <v>0</v>
      </c>
      <c r="AA80" s="7">
        <f t="shared" si="31"/>
        <v>0</v>
      </c>
      <c r="AB80" s="15">
        <v>0</v>
      </c>
      <c r="AC80" s="14">
        <f t="shared" si="32"/>
        <v>0</v>
      </c>
      <c r="AD80" s="14">
        <f t="shared" si="18"/>
        <v>8</v>
      </c>
      <c r="AE80" s="14">
        <f t="shared" si="19"/>
        <v>84115.909090909088</v>
      </c>
      <c r="AF80" s="15">
        <v>14.05</v>
      </c>
      <c r="AG80" s="7">
        <f t="shared" si="33"/>
        <v>163637.79545454547</v>
      </c>
      <c r="AH80" s="15">
        <v>0</v>
      </c>
      <c r="AI80" s="7">
        <f t="shared" si="34"/>
        <v>0</v>
      </c>
      <c r="AJ80" s="15">
        <v>4</v>
      </c>
      <c r="AK80" s="14">
        <f t="shared" si="35"/>
        <v>54351.818181818184</v>
      </c>
      <c r="AL80" s="15">
        <v>0</v>
      </c>
      <c r="AM80" s="7">
        <f t="shared" si="36"/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56</v>
      </c>
      <c r="AS80" s="7">
        <f t="shared" si="37"/>
        <v>126820.90909090907</v>
      </c>
      <c r="AT80" s="14">
        <f t="shared" si="20"/>
        <v>74.05</v>
      </c>
      <c r="AU80" s="14">
        <f t="shared" si="20"/>
        <v>344810.52272727271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-54117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51782</v>
      </c>
      <c r="BQ80" s="15">
        <v>10500</v>
      </c>
      <c r="BR80" s="14">
        <f t="shared" si="21"/>
        <v>62282</v>
      </c>
      <c r="BS80" s="15">
        <v>17200</v>
      </c>
      <c r="BT80" s="15">
        <v>0</v>
      </c>
      <c r="BU80" s="15">
        <v>0</v>
      </c>
      <c r="BV80" s="14">
        <f t="shared" si="22"/>
        <v>17200</v>
      </c>
      <c r="BW80" s="15">
        <v>35850</v>
      </c>
      <c r="BX80" s="15">
        <v>4302</v>
      </c>
      <c r="BY80" s="15">
        <v>35850</v>
      </c>
      <c r="BZ80" s="15">
        <v>18671</v>
      </c>
      <c r="CA80" s="15">
        <v>0</v>
      </c>
      <c r="CB80" s="15">
        <v>94673</v>
      </c>
      <c r="CC80" s="15">
        <v>604376</v>
      </c>
      <c r="CD80" s="16">
        <v>37555.568181818235</v>
      </c>
      <c r="CE80" s="15">
        <v>0</v>
      </c>
      <c r="CF80" s="14">
        <f t="shared" si="23"/>
        <v>640637</v>
      </c>
      <c r="CG80" s="18"/>
      <c r="CH80" s="16"/>
      <c r="CI80" s="22"/>
      <c r="CJ80" s="17"/>
    </row>
    <row r="81" spans="1:88" s="13" customFormat="1" x14ac:dyDescent="0.35">
      <c r="A81" s="13">
        <v>1000692527</v>
      </c>
      <c r="B81" s="17" t="s">
        <v>95</v>
      </c>
      <c r="C81" s="17" t="s">
        <v>83</v>
      </c>
      <c r="D81" s="17" t="s">
        <v>286</v>
      </c>
      <c r="E81" s="17">
        <v>6571</v>
      </c>
      <c r="F81" s="17" t="s">
        <v>88</v>
      </c>
      <c r="G81" s="17" t="s">
        <v>89</v>
      </c>
      <c r="H81" s="17">
        <v>1000692527</v>
      </c>
      <c r="I81" s="17" t="s">
        <v>182</v>
      </c>
      <c r="J81" s="17" t="s">
        <v>94</v>
      </c>
      <c r="K81" s="17">
        <v>0</v>
      </c>
      <c r="L81" s="17">
        <v>0</v>
      </c>
      <c r="M81" s="17" t="s">
        <v>96</v>
      </c>
      <c r="N81" s="19">
        <v>45756</v>
      </c>
      <c r="O81" s="19">
        <v>1</v>
      </c>
      <c r="P81" s="20">
        <v>1423500</v>
      </c>
      <c r="Q81" s="17">
        <v>30</v>
      </c>
      <c r="R81" s="14">
        <f t="shared" si="17"/>
        <v>1423500</v>
      </c>
      <c r="S81" s="15">
        <v>200000</v>
      </c>
      <c r="T81" s="15">
        <v>0</v>
      </c>
      <c r="U81" s="7">
        <f t="shared" si="29"/>
        <v>0</v>
      </c>
      <c r="V81" s="15">
        <v>8</v>
      </c>
      <c r="W81" s="7">
        <f t="shared" si="30"/>
        <v>90586.363636363632</v>
      </c>
      <c r="X81" s="15">
        <v>0</v>
      </c>
      <c r="Y81" s="7">
        <f t="shared" si="28"/>
        <v>0</v>
      </c>
      <c r="Z81" s="15">
        <v>0</v>
      </c>
      <c r="AA81" s="7">
        <f t="shared" si="31"/>
        <v>0</v>
      </c>
      <c r="AB81" s="15">
        <v>0</v>
      </c>
      <c r="AC81" s="14">
        <f t="shared" si="32"/>
        <v>0</v>
      </c>
      <c r="AD81" s="14">
        <f t="shared" si="18"/>
        <v>8</v>
      </c>
      <c r="AE81" s="14">
        <f t="shared" si="19"/>
        <v>90586.363636363632</v>
      </c>
      <c r="AF81" s="15">
        <v>0</v>
      </c>
      <c r="AG81" s="7">
        <f t="shared" si="33"/>
        <v>0</v>
      </c>
      <c r="AH81" s="15">
        <v>0</v>
      </c>
      <c r="AI81" s="7">
        <f t="shared" si="34"/>
        <v>0</v>
      </c>
      <c r="AJ81" s="15">
        <v>0</v>
      </c>
      <c r="AK81" s="14">
        <f t="shared" si="35"/>
        <v>0</v>
      </c>
      <c r="AL81" s="15">
        <v>0</v>
      </c>
      <c r="AM81" s="7">
        <f t="shared" si="36"/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66.77</v>
      </c>
      <c r="AS81" s="7">
        <f t="shared" si="37"/>
        <v>151211.28749999998</v>
      </c>
      <c r="AT81" s="14">
        <f t="shared" si="20"/>
        <v>66.77</v>
      </c>
      <c r="AU81" s="14">
        <f t="shared" si="20"/>
        <v>151211.28749999998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110000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213088</v>
      </c>
      <c r="BQ81" s="15">
        <v>43300</v>
      </c>
      <c r="BR81" s="14">
        <f t="shared" si="21"/>
        <v>256388</v>
      </c>
      <c r="BS81" s="15">
        <v>71100</v>
      </c>
      <c r="BT81" s="15">
        <v>0</v>
      </c>
      <c r="BU81" s="15">
        <v>0</v>
      </c>
      <c r="BV81" s="14">
        <f t="shared" si="22"/>
        <v>71100</v>
      </c>
      <c r="BW81" s="15">
        <v>164601</v>
      </c>
      <c r="BX81" s="15">
        <v>19753</v>
      </c>
      <c r="BY81" s="15">
        <v>164601</v>
      </c>
      <c r="BZ81" s="15">
        <v>77048</v>
      </c>
      <c r="CA81" s="15">
        <v>0</v>
      </c>
      <c r="CB81" s="15">
        <v>426003</v>
      </c>
      <c r="CC81" s="15">
        <v>2728788</v>
      </c>
      <c r="CD81" s="15">
        <v>163727</v>
      </c>
      <c r="CE81" s="15">
        <v>0</v>
      </c>
      <c r="CF81" s="14">
        <f t="shared" si="23"/>
        <v>2892515.6511363639</v>
      </c>
      <c r="CG81" s="18"/>
      <c r="CH81" s="16"/>
      <c r="CI81" s="17"/>
      <c r="CJ81" s="17"/>
    </row>
    <row r="82" spans="1:88" s="13" customFormat="1" x14ac:dyDescent="0.35">
      <c r="A82" s="13">
        <v>1003394154</v>
      </c>
      <c r="B82" s="17" t="s">
        <v>95</v>
      </c>
      <c r="C82" s="17" t="s">
        <v>83</v>
      </c>
      <c r="D82" s="17" t="s">
        <v>286</v>
      </c>
      <c r="E82" s="17">
        <v>6571</v>
      </c>
      <c r="F82" s="17" t="s">
        <v>88</v>
      </c>
      <c r="G82" s="17" t="s">
        <v>89</v>
      </c>
      <c r="H82" s="17">
        <v>1003394154</v>
      </c>
      <c r="I82" s="17" t="s">
        <v>183</v>
      </c>
      <c r="J82" s="17" t="s">
        <v>94</v>
      </c>
      <c r="K82" s="17">
        <v>0</v>
      </c>
      <c r="L82" s="17">
        <v>0</v>
      </c>
      <c r="M82" s="17" t="s">
        <v>96</v>
      </c>
      <c r="N82" s="19">
        <v>45758</v>
      </c>
      <c r="O82" s="19">
        <v>1</v>
      </c>
      <c r="P82" s="20">
        <v>1423500</v>
      </c>
      <c r="Q82" s="17">
        <v>28</v>
      </c>
      <c r="R82" s="14">
        <f t="shared" si="17"/>
        <v>1328600</v>
      </c>
      <c r="S82" s="15">
        <v>186667</v>
      </c>
      <c r="T82" s="15">
        <v>6.39</v>
      </c>
      <c r="U82" s="7">
        <f t="shared" si="29"/>
        <v>51682.755681818177</v>
      </c>
      <c r="V82" s="15">
        <v>0</v>
      </c>
      <c r="W82" s="7">
        <f t="shared" si="30"/>
        <v>0</v>
      </c>
      <c r="X82" s="15">
        <v>0</v>
      </c>
      <c r="Y82" s="7">
        <f t="shared" si="28"/>
        <v>0</v>
      </c>
      <c r="Z82" s="15">
        <v>0</v>
      </c>
      <c r="AA82" s="7">
        <f t="shared" si="31"/>
        <v>0</v>
      </c>
      <c r="AB82" s="15">
        <v>0</v>
      </c>
      <c r="AC82" s="14">
        <f t="shared" si="32"/>
        <v>0</v>
      </c>
      <c r="AD82" s="14">
        <f t="shared" si="18"/>
        <v>6.39</v>
      </c>
      <c r="AE82" s="14">
        <f t="shared" si="19"/>
        <v>51682.755681818177</v>
      </c>
      <c r="AF82" s="15">
        <v>0</v>
      </c>
      <c r="AG82" s="7">
        <f t="shared" si="33"/>
        <v>0</v>
      </c>
      <c r="AH82" s="15">
        <v>0</v>
      </c>
      <c r="AI82" s="7">
        <f t="shared" si="34"/>
        <v>0</v>
      </c>
      <c r="AJ82" s="15">
        <v>0</v>
      </c>
      <c r="AK82" s="14">
        <f t="shared" si="35"/>
        <v>0</v>
      </c>
      <c r="AL82" s="15">
        <v>0</v>
      </c>
      <c r="AM82" s="7">
        <f t="shared" si="36"/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73.06</v>
      </c>
      <c r="AS82" s="7">
        <f t="shared" si="37"/>
        <v>165455.99318181816</v>
      </c>
      <c r="AT82" s="14">
        <f t="shared" si="20"/>
        <v>73.06</v>
      </c>
      <c r="AU82" s="14">
        <f t="shared" si="20"/>
        <v>165455.99318181816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70000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212370</v>
      </c>
      <c r="BQ82" s="15">
        <v>39400</v>
      </c>
      <c r="BR82" s="14">
        <f t="shared" si="21"/>
        <v>251770</v>
      </c>
      <c r="BS82" s="15">
        <v>64700</v>
      </c>
      <c r="BT82" s="15">
        <v>0</v>
      </c>
      <c r="BU82" s="15">
        <v>0</v>
      </c>
      <c r="BV82" s="14">
        <f t="shared" si="22"/>
        <v>64700</v>
      </c>
      <c r="BW82" s="15">
        <v>150194</v>
      </c>
      <c r="BX82" s="15">
        <v>18024</v>
      </c>
      <c r="BY82" s="15">
        <v>150194</v>
      </c>
      <c r="BZ82" s="15">
        <v>70123</v>
      </c>
      <c r="CA82" s="15">
        <v>0</v>
      </c>
      <c r="CB82" s="15">
        <v>388535</v>
      </c>
      <c r="CC82" s="15">
        <v>2507411</v>
      </c>
      <c r="CD82" s="15">
        <v>150442</v>
      </c>
      <c r="CE82" s="15">
        <v>0</v>
      </c>
      <c r="CF82" s="14">
        <f t="shared" si="23"/>
        <v>2657852.7488636365</v>
      </c>
      <c r="CG82" s="18"/>
      <c r="CH82" s="16"/>
      <c r="CI82" s="17"/>
      <c r="CJ82" s="15"/>
    </row>
    <row r="83" spans="1:88" s="13" customFormat="1" x14ac:dyDescent="0.35">
      <c r="A83" s="13">
        <v>1007859098</v>
      </c>
      <c r="B83" s="17" t="s">
        <v>95</v>
      </c>
      <c r="C83" s="17" t="s">
        <v>83</v>
      </c>
      <c r="D83" s="17" t="s">
        <v>286</v>
      </c>
      <c r="E83" s="17">
        <v>6563</v>
      </c>
      <c r="F83" s="17" t="s">
        <v>84</v>
      </c>
      <c r="G83" s="17" t="s">
        <v>85</v>
      </c>
      <c r="H83" s="17">
        <v>1007859098</v>
      </c>
      <c r="I83" s="17" t="s">
        <v>184</v>
      </c>
      <c r="J83" s="17" t="s">
        <v>94</v>
      </c>
      <c r="K83" s="17">
        <v>0</v>
      </c>
      <c r="L83" s="17">
        <v>0</v>
      </c>
      <c r="M83" s="17" t="s">
        <v>96</v>
      </c>
      <c r="N83" s="19">
        <v>45769</v>
      </c>
      <c r="O83" s="19">
        <v>45834</v>
      </c>
      <c r="P83" s="20">
        <v>1423500</v>
      </c>
      <c r="Q83" s="17">
        <v>0</v>
      </c>
      <c r="R83" s="14">
        <f t="shared" si="17"/>
        <v>0</v>
      </c>
      <c r="S83" s="15">
        <v>0</v>
      </c>
      <c r="T83" s="15">
        <v>2</v>
      </c>
      <c r="U83" s="7">
        <f>+P83/230*T83*1.25</f>
        <v>15472.826086956522</v>
      </c>
      <c r="V83" s="15">
        <v>0</v>
      </c>
      <c r="W83" s="7">
        <f>+P83/230*V83*1.75</f>
        <v>0</v>
      </c>
      <c r="X83" s="15">
        <v>0</v>
      </c>
      <c r="Y83" s="7">
        <f t="shared" si="28"/>
        <v>0</v>
      </c>
      <c r="Z83" s="15">
        <v>0</v>
      </c>
      <c r="AA83" s="7">
        <f t="shared" si="31"/>
        <v>0</v>
      </c>
      <c r="AB83" s="15">
        <v>0</v>
      </c>
      <c r="AC83" s="14">
        <f t="shared" si="32"/>
        <v>0</v>
      </c>
      <c r="AD83" s="14">
        <f t="shared" si="18"/>
        <v>2</v>
      </c>
      <c r="AE83" s="14">
        <f t="shared" si="19"/>
        <v>15472.826086956522</v>
      </c>
      <c r="AF83" s="15">
        <v>8</v>
      </c>
      <c r="AG83" s="7">
        <f>+P83/230*AF83*1.75</f>
        <v>86647.826086956527</v>
      </c>
      <c r="AH83" s="15">
        <v>0</v>
      </c>
      <c r="AI83" s="7">
        <f t="shared" si="34"/>
        <v>0</v>
      </c>
      <c r="AJ83" s="15">
        <v>0</v>
      </c>
      <c r="AK83" s="14">
        <f t="shared" si="35"/>
        <v>0</v>
      </c>
      <c r="AL83" s="15">
        <v>0</v>
      </c>
      <c r="AM83" s="7">
        <f t="shared" si="36"/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27.78</v>
      </c>
      <c r="AS83" s="7">
        <f>+P83/230*AR83*0.35</f>
        <v>60176.91521739131</v>
      </c>
      <c r="AT83" s="14">
        <f t="shared" si="20"/>
        <v>35.78</v>
      </c>
      <c r="AU83" s="14">
        <f t="shared" si="20"/>
        <v>146824.74130434784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142350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4">
        <f t="shared" si="21"/>
        <v>0</v>
      </c>
      <c r="BS83" s="15">
        <v>4300</v>
      </c>
      <c r="BT83" s="15">
        <v>0</v>
      </c>
      <c r="BU83" s="15">
        <v>0</v>
      </c>
      <c r="BV83" s="14">
        <f t="shared" si="22"/>
        <v>4300</v>
      </c>
      <c r="BW83" s="15">
        <v>13524</v>
      </c>
      <c r="BX83" s="15">
        <v>1623</v>
      </c>
      <c r="BY83" s="15">
        <v>13524</v>
      </c>
      <c r="BZ83" s="15">
        <v>7044</v>
      </c>
      <c r="CA83" s="15">
        <v>0</v>
      </c>
      <c r="CB83" s="15">
        <v>35715</v>
      </c>
      <c r="CC83" s="15">
        <v>344663</v>
      </c>
      <c r="CD83" s="15">
        <v>20679</v>
      </c>
      <c r="CE83" s="15">
        <v>0</v>
      </c>
      <c r="CF83" s="14">
        <f t="shared" si="23"/>
        <v>365341.56739130442</v>
      </c>
      <c r="CG83" s="18"/>
      <c r="CH83" s="16"/>
      <c r="CI83" s="17"/>
      <c r="CJ83" s="17"/>
    </row>
    <row r="84" spans="1:88" s="13" customFormat="1" x14ac:dyDescent="0.35">
      <c r="A84" s="13">
        <v>1027522401</v>
      </c>
      <c r="B84" s="17" t="s">
        <v>95</v>
      </c>
      <c r="C84" s="17" t="s">
        <v>83</v>
      </c>
      <c r="D84" s="17" t="s">
        <v>286</v>
      </c>
      <c r="E84" s="17">
        <v>6563</v>
      </c>
      <c r="F84" s="17" t="s">
        <v>84</v>
      </c>
      <c r="G84" s="17" t="s">
        <v>85</v>
      </c>
      <c r="H84" s="17">
        <v>1027522401</v>
      </c>
      <c r="I84" s="17" t="s">
        <v>185</v>
      </c>
      <c r="J84" s="17" t="s">
        <v>94</v>
      </c>
      <c r="K84" s="17">
        <v>0</v>
      </c>
      <c r="L84" s="17">
        <v>0</v>
      </c>
      <c r="M84" s="17" t="s">
        <v>96</v>
      </c>
      <c r="N84" s="19">
        <v>45769</v>
      </c>
      <c r="O84" s="19">
        <v>45856</v>
      </c>
      <c r="P84" s="20">
        <v>1423500</v>
      </c>
      <c r="Q84" s="17">
        <v>-12</v>
      </c>
      <c r="R84" s="14">
        <f t="shared" si="17"/>
        <v>-569400</v>
      </c>
      <c r="S84" s="15">
        <v>-80000</v>
      </c>
      <c r="T84" s="15">
        <v>1.5832999999999999</v>
      </c>
      <c r="U84" s="7">
        <f t="shared" si="29"/>
        <v>12805.838352272727</v>
      </c>
      <c r="V84" s="15">
        <v>0</v>
      </c>
      <c r="W84" s="7">
        <f t="shared" si="30"/>
        <v>0</v>
      </c>
      <c r="X84" s="15">
        <v>0</v>
      </c>
      <c r="Y84" s="7">
        <f t="shared" si="28"/>
        <v>0</v>
      </c>
      <c r="Z84" s="15">
        <v>0</v>
      </c>
      <c r="AA84" s="7">
        <f t="shared" si="31"/>
        <v>0</v>
      </c>
      <c r="AB84" s="15">
        <v>0</v>
      </c>
      <c r="AC84" s="14">
        <f t="shared" si="32"/>
        <v>0</v>
      </c>
      <c r="AD84" s="14">
        <f t="shared" si="18"/>
        <v>1.5832999999999999</v>
      </c>
      <c r="AE84" s="14">
        <f t="shared" si="19"/>
        <v>12805.838352272727</v>
      </c>
      <c r="AF84" s="15">
        <v>0</v>
      </c>
      <c r="AG84" s="7">
        <f t="shared" si="33"/>
        <v>0</v>
      </c>
      <c r="AH84" s="15">
        <v>0</v>
      </c>
      <c r="AI84" s="7">
        <f t="shared" si="34"/>
        <v>0</v>
      </c>
      <c r="AJ84" s="15">
        <v>2</v>
      </c>
      <c r="AK84" s="14">
        <f t="shared" si="35"/>
        <v>27175.909090909092</v>
      </c>
      <c r="AL84" s="15">
        <v>0</v>
      </c>
      <c r="AM84" s="7">
        <f t="shared" si="36"/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32</v>
      </c>
      <c r="AS84" s="7">
        <f t="shared" si="37"/>
        <v>72469.090909090897</v>
      </c>
      <c r="AT84" s="14">
        <f t="shared" si="20"/>
        <v>34</v>
      </c>
      <c r="AU84" s="14">
        <f t="shared" si="20"/>
        <v>99644.999999999985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-54748</v>
      </c>
      <c r="BQ84" s="15">
        <v>-11100</v>
      </c>
      <c r="BR84" s="14">
        <f t="shared" si="21"/>
        <v>-65848</v>
      </c>
      <c r="BS84" s="15">
        <v>-18200</v>
      </c>
      <c r="BT84" s="15">
        <v>0</v>
      </c>
      <c r="BU84" s="15">
        <v>0</v>
      </c>
      <c r="BV84" s="14">
        <f t="shared" si="22"/>
        <v>-18200</v>
      </c>
      <c r="BW84" s="15">
        <v>-44690</v>
      </c>
      <c r="BX84" s="15">
        <v>-5363</v>
      </c>
      <c r="BY84" s="15">
        <v>-44690</v>
      </c>
      <c r="BZ84" s="15">
        <v>-19804</v>
      </c>
      <c r="CA84" s="15">
        <v>0</v>
      </c>
      <c r="CB84" s="15">
        <v>-114547</v>
      </c>
      <c r="CC84" s="15">
        <v>-734897</v>
      </c>
      <c r="CD84" s="16">
        <v>-43447.838352272753</v>
      </c>
      <c r="CE84" s="15">
        <v>0</v>
      </c>
      <c r="CF84" s="14">
        <f t="shared" si="23"/>
        <v>-778992</v>
      </c>
      <c r="CG84" s="18"/>
      <c r="CH84" s="16"/>
      <c r="CI84" s="22"/>
      <c r="CJ84" s="17"/>
    </row>
    <row r="85" spans="1:88" s="13" customFormat="1" x14ac:dyDescent="0.35">
      <c r="A85" s="13">
        <v>1003689873</v>
      </c>
      <c r="B85" s="17" t="s">
        <v>95</v>
      </c>
      <c r="C85" s="17" t="s">
        <v>83</v>
      </c>
      <c r="D85" s="17" t="s">
        <v>286</v>
      </c>
      <c r="E85" s="17">
        <v>6563</v>
      </c>
      <c r="F85" s="17" t="s">
        <v>84</v>
      </c>
      <c r="G85" s="17" t="s">
        <v>85</v>
      </c>
      <c r="H85" s="17">
        <v>1003689873</v>
      </c>
      <c r="I85" s="17" t="s">
        <v>186</v>
      </c>
      <c r="J85" s="17" t="s">
        <v>94</v>
      </c>
      <c r="K85" s="17">
        <v>0</v>
      </c>
      <c r="L85" s="17">
        <v>0</v>
      </c>
      <c r="M85" s="17" t="s">
        <v>96</v>
      </c>
      <c r="N85" s="19">
        <v>45769</v>
      </c>
      <c r="O85" s="19">
        <v>45869</v>
      </c>
      <c r="P85" s="20">
        <v>1423500</v>
      </c>
      <c r="Q85" s="17">
        <v>1</v>
      </c>
      <c r="R85" s="14">
        <f t="shared" si="17"/>
        <v>47450</v>
      </c>
      <c r="S85" s="15">
        <v>6667</v>
      </c>
      <c r="T85" s="15">
        <v>2.8666999999999998</v>
      </c>
      <c r="U85" s="7">
        <f t="shared" si="29"/>
        <v>23186.065056818181</v>
      </c>
      <c r="V85" s="15">
        <v>11</v>
      </c>
      <c r="W85" s="7">
        <f t="shared" si="30"/>
        <v>124556.25</v>
      </c>
      <c r="X85" s="15">
        <v>0</v>
      </c>
      <c r="Y85" s="7">
        <f t="shared" si="28"/>
        <v>0</v>
      </c>
      <c r="Z85" s="15">
        <v>2</v>
      </c>
      <c r="AA85" s="7">
        <f t="shared" si="31"/>
        <v>32352.272727272724</v>
      </c>
      <c r="AB85" s="15">
        <v>0</v>
      </c>
      <c r="AC85" s="14">
        <f t="shared" si="32"/>
        <v>0</v>
      </c>
      <c r="AD85" s="14">
        <f t="shared" si="18"/>
        <v>15.8667</v>
      </c>
      <c r="AE85" s="14">
        <f t="shared" si="19"/>
        <v>180094.58778409092</v>
      </c>
      <c r="AF85" s="15">
        <v>14</v>
      </c>
      <c r="AG85" s="7">
        <f t="shared" si="33"/>
        <v>163055.45454545453</v>
      </c>
      <c r="AH85" s="15">
        <v>0</v>
      </c>
      <c r="AI85" s="7">
        <f t="shared" si="34"/>
        <v>0</v>
      </c>
      <c r="AJ85" s="15">
        <v>6</v>
      </c>
      <c r="AK85" s="14">
        <f t="shared" si="35"/>
        <v>81527.727272727279</v>
      </c>
      <c r="AL85" s="15">
        <v>0</v>
      </c>
      <c r="AM85" s="7">
        <f t="shared" si="36"/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72</v>
      </c>
      <c r="AS85" s="7">
        <f t="shared" si="37"/>
        <v>163055.45454545453</v>
      </c>
      <c r="AT85" s="14">
        <f t="shared" si="20"/>
        <v>92</v>
      </c>
      <c r="AU85" s="14">
        <f t="shared" si="20"/>
        <v>407638.63636363635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-54117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70974</v>
      </c>
      <c r="BQ85" s="15">
        <v>14400</v>
      </c>
      <c r="BR85" s="14">
        <f t="shared" si="21"/>
        <v>85374</v>
      </c>
      <c r="BS85" s="15">
        <v>23700</v>
      </c>
      <c r="BT85" s="15">
        <v>0</v>
      </c>
      <c r="BU85" s="15">
        <v>0</v>
      </c>
      <c r="BV85" s="14">
        <f t="shared" si="22"/>
        <v>23700</v>
      </c>
      <c r="BW85" s="15">
        <v>49191</v>
      </c>
      <c r="BX85" s="15">
        <v>5903</v>
      </c>
      <c r="BY85" s="15">
        <v>49191</v>
      </c>
      <c r="BZ85" s="15">
        <v>25620</v>
      </c>
      <c r="CA85" s="15">
        <v>0</v>
      </c>
      <c r="CB85" s="15">
        <v>129905</v>
      </c>
      <c r="CC85" s="15">
        <v>829299</v>
      </c>
      <c r="CD85" s="16">
        <v>52341.775852272753</v>
      </c>
      <c r="CE85" s="15">
        <v>0</v>
      </c>
      <c r="CF85" s="14">
        <f t="shared" si="23"/>
        <v>879054</v>
      </c>
      <c r="CG85" s="18"/>
      <c r="CH85" s="16"/>
      <c r="CI85" s="22"/>
      <c r="CJ85" s="17"/>
    </row>
    <row r="86" spans="1:88" s="13" customFormat="1" x14ac:dyDescent="0.35">
      <c r="A86" s="13">
        <v>1073523670</v>
      </c>
      <c r="B86" s="17" t="s">
        <v>95</v>
      </c>
      <c r="C86" s="17" t="s">
        <v>83</v>
      </c>
      <c r="D86" s="17" t="s">
        <v>286</v>
      </c>
      <c r="E86" s="17">
        <v>6563</v>
      </c>
      <c r="F86" s="17" t="s">
        <v>84</v>
      </c>
      <c r="G86" s="17" t="s">
        <v>85</v>
      </c>
      <c r="H86" s="17">
        <v>1073523670</v>
      </c>
      <c r="I86" s="17" t="s">
        <v>187</v>
      </c>
      <c r="J86" s="17" t="s">
        <v>94</v>
      </c>
      <c r="K86" s="17">
        <v>0</v>
      </c>
      <c r="L86" s="17">
        <v>0</v>
      </c>
      <c r="M86" s="17" t="s">
        <v>96</v>
      </c>
      <c r="N86" s="19">
        <v>45769</v>
      </c>
      <c r="O86" s="19">
        <v>1</v>
      </c>
      <c r="P86" s="20">
        <v>1423500</v>
      </c>
      <c r="Q86" s="17">
        <v>30</v>
      </c>
      <c r="R86" s="14">
        <f t="shared" si="17"/>
        <v>1423500</v>
      </c>
      <c r="S86" s="15">
        <v>200000</v>
      </c>
      <c r="T86" s="15">
        <v>7.7</v>
      </c>
      <c r="U86" s="7">
        <f t="shared" si="29"/>
        <v>62278.125</v>
      </c>
      <c r="V86" s="15">
        <v>9.15</v>
      </c>
      <c r="W86" s="7">
        <f t="shared" si="30"/>
        <v>103608.15340909091</v>
      </c>
      <c r="X86" s="15">
        <v>0</v>
      </c>
      <c r="Y86" s="7">
        <f t="shared" si="28"/>
        <v>0</v>
      </c>
      <c r="Z86" s="15">
        <v>0</v>
      </c>
      <c r="AA86" s="7">
        <f t="shared" si="31"/>
        <v>0</v>
      </c>
      <c r="AB86" s="15">
        <v>0</v>
      </c>
      <c r="AC86" s="14">
        <f t="shared" si="32"/>
        <v>0</v>
      </c>
      <c r="AD86" s="14">
        <f t="shared" si="18"/>
        <v>16.850000000000001</v>
      </c>
      <c r="AE86" s="14">
        <f t="shared" si="19"/>
        <v>165886.27840909091</v>
      </c>
      <c r="AF86" s="15">
        <v>9</v>
      </c>
      <c r="AG86" s="7">
        <f t="shared" si="33"/>
        <v>104821.36363636363</v>
      </c>
      <c r="AH86" s="15">
        <v>0</v>
      </c>
      <c r="AI86" s="7">
        <f t="shared" si="34"/>
        <v>0</v>
      </c>
      <c r="AJ86" s="15">
        <v>5.12</v>
      </c>
      <c r="AK86" s="14">
        <f t="shared" si="35"/>
        <v>69570.327272727271</v>
      </c>
      <c r="AL86" s="15">
        <v>0</v>
      </c>
      <c r="AM86" s="7">
        <f t="shared" si="36"/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80</v>
      </c>
      <c r="AS86" s="7">
        <f t="shared" si="37"/>
        <v>181172.72727272724</v>
      </c>
      <c r="AT86" s="14">
        <f t="shared" si="20"/>
        <v>94.12</v>
      </c>
      <c r="AU86" s="14">
        <f t="shared" si="20"/>
        <v>355564.41818181815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113880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247281</v>
      </c>
      <c r="BQ86" s="15">
        <v>50200</v>
      </c>
      <c r="BR86" s="14">
        <f t="shared" si="21"/>
        <v>297481</v>
      </c>
      <c r="BS86" s="15">
        <v>82500</v>
      </c>
      <c r="BT86" s="15">
        <v>0</v>
      </c>
      <c r="BU86" s="15">
        <v>0</v>
      </c>
      <c r="BV86" s="14">
        <f t="shared" si="22"/>
        <v>82500</v>
      </c>
      <c r="BW86" s="15">
        <v>188366</v>
      </c>
      <c r="BX86" s="15">
        <v>22605</v>
      </c>
      <c r="BY86" s="15">
        <v>188366</v>
      </c>
      <c r="BZ86" s="15">
        <v>89425</v>
      </c>
      <c r="CA86" s="15">
        <v>0</v>
      </c>
      <c r="CB86" s="15">
        <v>488762</v>
      </c>
      <c r="CC86" s="15">
        <v>3129230</v>
      </c>
      <c r="CD86" s="16">
        <v>189411.3034090912</v>
      </c>
      <c r="CE86" s="15">
        <v>0</v>
      </c>
      <c r="CF86" s="14">
        <f t="shared" si="23"/>
        <v>3316985</v>
      </c>
      <c r="CG86" s="18"/>
      <c r="CH86" s="16"/>
      <c r="CI86" s="22"/>
      <c r="CJ86" s="17"/>
    </row>
    <row r="87" spans="1:88" s="13" customFormat="1" x14ac:dyDescent="0.35">
      <c r="A87" s="13">
        <v>1003458365</v>
      </c>
      <c r="B87" s="17" t="s">
        <v>95</v>
      </c>
      <c r="C87" s="17" t="s">
        <v>83</v>
      </c>
      <c r="D87" s="17" t="s">
        <v>286</v>
      </c>
      <c r="E87" s="17">
        <v>6563</v>
      </c>
      <c r="F87" s="17" t="s">
        <v>84</v>
      </c>
      <c r="G87" s="17" t="s">
        <v>85</v>
      </c>
      <c r="H87" s="17">
        <v>1003458365</v>
      </c>
      <c r="I87" s="17" t="s">
        <v>188</v>
      </c>
      <c r="J87" s="17" t="s">
        <v>94</v>
      </c>
      <c r="K87" s="17">
        <v>0</v>
      </c>
      <c r="L87" s="17">
        <v>0</v>
      </c>
      <c r="M87" s="17" t="s">
        <v>96</v>
      </c>
      <c r="N87" s="19">
        <v>45769</v>
      </c>
      <c r="O87" s="19">
        <v>1</v>
      </c>
      <c r="P87" s="20">
        <v>1423500</v>
      </c>
      <c r="Q87" s="17">
        <v>30</v>
      </c>
      <c r="R87" s="14">
        <f t="shared" si="17"/>
        <v>1423500</v>
      </c>
      <c r="S87" s="15">
        <v>200000</v>
      </c>
      <c r="T87" s="15">
        <v>0</v>
      </c>
      <c r="U87" s="7">
        <f t="shared" si="29"/>
        <v>0</v>
      </c>
      <c r="V87" s="15">
        <v>9.89</v>
      </c>
      <c r="W87" s="7">
        <f t="shared" si="30"/>
        <v>111987.39204545454</v>
      </c>
      <c r="X87" s="15">
        <v>0</v>
      </c>
      <c r="Y87" s="7">
        <f t="shared" si="28"/>
        <v>0</v>
      </c>
      <c r="Z87" s="15">
        <v>2</v>
      </c>
      <c r="AA87" s="7">
        <f t="shared" si="31"/>
        <v>32352.272727272724</v>
      </c>
      <c r="AB87" s="15">
        <v>0</v>
      </c>
      <c r="AC87" s="14">
        <f t="shared" si="32"/>
        <v>0</v>
      </c>
      <c r="AD87" s="14">
        <f t="shared" si="18"/>
        <v>11.89</v>
      </c>
      <c r="AE87" s="14">
        <f t="shared" si="19"/>
        <v>144339.66477272726</v>
      </c>
      <c r="AF87" s="15">
        <v>7</v>
      </c>
      <c r="AG87" s="7">
        <f t="shared" si="33"/>
        <v>81527.727272727265</v>
      </c>
      <c r="AH87" s="15">
        <v>0</v>
      </c>
      <c r="AI87" s="7">
        <f t="shared" si="34"/>
        <v>0</v>
      </c>
      <c r="AJ87" s="15">
        <v>3</v>
      </c>
      <c r="AK87" s="14">
        <f t="shared" si="35"/>
        <v>40763.86363636364</v>
      </c>
      <c r="AL87" s="15">
        <v>0</v>
      </c>
      <c r="AM87" s="7">
        <f t="shared" si="36"/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50.13</v>
      </c>
      <c r="AS87" s="7">
        <f t="shared" si="37"/>
        <v>113527.36022727271</v>
      </c>
      <c r="AT87" s="14">
        <f t="shared" si="20"/>
        <v>60.13</v>
      </c>
      <c r="AU87" s="14">
        <f t="shared" si="20"/>
        <v>235818.95113636361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284700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250801</v>
      </c>
      <c r="BQ87" s="15">
        <v>51000</v>
      </c>
      <c r="BR87" s="14">
        <f t="shared" si="21"/>
        <v>301801</v>
      </c>
      <c r="BS87" s="15">
        <v>83600</v>
      </c>
      <c r="BT87" s="15">
        <v>0</v>
      </c>
      <c r="BU87" s="15">
        <v>0</v>
      </c>
      <c r="BV87" s="14">
        <f t="shared" si="22"/>
        <v>83600</v>
      </c>
      <c r="BW87" s="15">
        <v>190824</v>
      </c>
      <c r="BX87" s="15">
        <v>22900</v>
      </c>
      <c r="BY87" s="15">
        <v>190824</v>
      </c>
      <c r="BZ87" s="15">
        <v>90705</v>
      </c>
      <c r="CA87" s="15">
        <v>0</v>
      </c>
      <c r="CB87" s="15">
        <v>495253</v>
      </c>
      <c r="CC87" s="15">
        <v>3170629</v>
      </c>
      <c r="CD87" s="16">
        <v>191856.3840909088</v>
      </c>
      <c r="CE87" s="15">
        <v>0</v>
      </c>
      <c r="CF87" s="14">
        <f t="shared" si="23"/>
        <v>3360869</v>
      </c>
      <c r="CG87" s="18"/>
      <c r="CH87" s="16"/>
      <c r="CI87" s="22"/>
      <c r="CJ87" s="17"/>
    </row>
    <row r="88" spans="1:88" s="13" customFormat="1" x14ac:dyDescent="0.35">
      <c r="A88" s="13">
        <v>1073515096</v>
      </c>
      <c r="B88" s="17" t="s">
        <v>95</v>
      </c>
      <c r="C88" s="17" t="s">
        <v>83</v>
      </c>
      <c r="D88" s="17" t="s">
        <v>286</v>
      </c>
      <c r="E88" s="17">
        <v>6563</v>
      </c>
      <c r="F88" s="17" t="s">
        <v>84</v>
      </c>
      <c r="G88" s="17" t="s">
        <v>85</v>
      </c>
      <c r="H88" s="17">
        <v>1073515096</v>
      </c>
      <c r="I88" s="17" t="s">
        <v>189</v>
      </c>
      <c r="J88" s="17" t="s">
        <v>94</v>
      </c>
      <c r="K88" s="17">
        <v>0</v>
      </c>
      <c r="L88" s="17">
        <v>0</v>
      </c>
      <c r="M88" s="17" t="s">
        <v>96</v>
      </c>
      <c r="N88" s="19">
        <v>45769</v>
      </c>
      <c r="O88" s="19">
        <v>45881</v>
      </c>
      <c r="P88" s="20">
        <v>1423500</v>
      </c>
      <c r="Q88" s="17">
        <v>12</v>
      </c>
      <c r="R88" s="14">
        <f t="shared" si="17"/>
        <v>569400</v>
      </c>
      <c r="S88" s="15">
        <v>73333</v>
      </c>
      <c r="T88" s="15">
        <v>8.1667000000000005</v>
      </c>
      <c r="U88" s="7">
        <f t="shared" si="29"/>
        <v>66052.826420454541</v>
      </c>
      <c r="V88" s="15">
        <v>3.9333</v>
      </c>
      <c r="W88" s="7">
        <f t="shared" si="30"/>
        <v>44537.918011363632</v>
      </c>
      <c r="X88" s="15">
        <v>0</v>
      </c>
      <c r="Y88" s="7">
        <f t="shared" si="28"/>
        <v>0</v>
      </c>
      <c r="Z88" s="15">
        <v>0</v>
      </c>
      <c r="AA88" s="7">
        <f t="shared" si="31"/>
        <v>0</v>
      </c>
      <c r="AB88" s="15">
        <v>0</v>
      </c>
      <c r="AC88" s="14">
        <f t="shared" si="32"/>
        <v>0</v>
      </c>
      <c r="AD88" s="14">
        <f t="shared" si="18"/>
        <v>12.100000000000001</v>
      </c>
      <c r="AE88" s="14">
        <f t="shared" si="19"/>
        <v>110590.74443181817</v>
      </c>
      <c r="AF88" s="15">
        <v>0</v>
      </c>
      <c r="AG88" s="7">
        <f t="shared" si="33"/>
        <v>0</v>
      </c>
      <c r="AH88" s="15">
        <v>0</v>
      </c>
      <c r="AI88" s="7">
        <f t="shared" si="34"/>
        <v>0</v>
      </c>
      <c r="AJ88" s="15">
        <v>2</v>
      </c>
      <c r="AK88" s="14">
        <f t="shared" si="35"/>
        <v>27175.909090909092</v>
      </c>
      <c r="AL88" s="15">
        <v>0</v>
      </c>
      <c r="AM88" s="7">
        <f t="shared" si="36"/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55.4833</v>
      </c>
      <c r="AS88" s="7">
        <f t="shared" si="37"/>
        <v>125650.75973863635</v>
      </c>
      <c r="AT88" s="14">
        <f t="shared" si="20"/>
        <v>57.4833</v>
      </c>
      <c r="AU88" s="14">
        <f t="shared" si="20"/>
        <v>152826.66882954544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101654</v>
      </c>
      <c r="BQ88" s="15">
        <v>19200</v>
      </c>
      <c r="BR88" s="14">
        <f t="shared" si="21"/>
        <v>120854</v>
      </c>
      <c r="BS88" s="15">
        <v>33400</v>
      </c>
      <c r="BT88" s="15">
        <v>0</v>
      </c>
      <c r="BU88" s="15">
        <v>0</v>
      </c>
      <c r="BV88" s="14">
        <f t="shared" si="22"/>
        <v>33400</v>
      </c>
      <c r="BW88" s="15">
        <v>75563</v>
      </c>
      <c r="BX88" s="15">
        <v>9068</v>
      </c>
      <c r="BY88" s="15">
        <v>75563</v>
      </c>
      <c r="BZ88" s="15">
        <v>36172</v>
      </c>
      <c r="CA88" s="15">
        <v>0</v>
      </c>
      <c r="CB88" s="15">
        <v>196366</v>
      </c>
      <c r="CC88" s="15">
        <v>1257418</v>
      </c>
      <c r="CD88" s="15">
        <v>76094</v>
      </c>
      <c r="CE88" s="15">
        <v>0</v>
      </c>
      <c r="CF88" s="14">
        <f t="shared" si="23"/>
        <v>1332864.4132613637</v>
      </c>
      <c r="CG88" s="18"/>
      <c r="CH88" s="16"/>
      <c r="CI88" s="17"/>
      <c r="CJ88" s="17"/>
    </row>
    <row r="89" spans="1:88" s="13" customFormat="1" x14ac:dyDescent="0.35">
      <c r="A89" s="13">
        <v>1070815590</v>
      </c>
      <c r="B89" s="17" t="s">
        <v>97</v>
      </c>
      <c r="C89" s="17" t="s">
        <v>83</v>
      </c>
      <c r="D89" s="17" t="s">
        <v>286</v>
      </c>
      <c r="E89" s="17">
        <v>5421</v>
      </c>
      <c r="F89" s="17" t="s">
        <v>86</v>
      </c>
      <c r="G89" s="17" t="s">
        <v>87</v>
      </c>
      <c r="H89" s="17">
        <v>1070815590</v>
      </c>
      <c r="I89" s="17" t="s">
        <v>192</v>
      </c>
      <c r="J89" s="17" t="s">
        <v>94</v>
      </c>
      <c r="K89" s="17">
        <v>0</v>
      </c>
      <c r="L89" s="17">
        <v>0</v>
      </c>
      <c r="M89" s="17" t="s">
        <v>96</v>
      </c>
      <c r="N89" s="19">
        <v>45791</v>
      </c>
      <c r="O89" s="19">
        <v>1</v>
      </c>
      <c r="P89" s="20">
        <v>1423500</v>
      </c>
      <c r="Q89" s="17">
        <v>30</v>
      </c>
      <c r="R89" s="14">
        <f t="shared" si="17"/>
        <v>1423500</v>
      </c>
      <c r="S89" s="15">
        <v>180000</v>
      </c>
      <c r="T89" s="15">
        <v>4.05</v>
      </c>
      <c r="U89" s="7">
        <f t="shared" si="29"/>
        <v>32756.676136363632</v>
      </c>
      <c r="V89" s="15">
        <v>0</v>
      </c>
      <c r="W89" s="7">
        <f t="shared" si="30"/>
        <v>0</v>
      </c>
      <c r="X89" s="15">
        <v>0</v>
      </c>
      <c r="Y89" s="7">
        <f t="shared" si="28"/>
        <v>0</v>
      </c>
      <c r="Z89" s="15">
        <v>0</v>
      </c>
      <c r="AA89" s="7">
        <f t="shared" si="31"/>
        <v>0</v>
      </c>
      <c r="AB89" s="15">
        <v>0</v>
      </c>
      <c r="AC89" s="14">
        <f t="shared" si="32"/>
        <v>0</v>
      </c>
      <c r="AD89" s="14">
        <f t="shared" si="18"/>
        <v>4.05</v>
      </c>
      <c r="AE89" s="14">
        <f t="shared" si="19"/>
        <v>32756.676136363632</v>
      </c>
      <c r="AF89" s="15">
        <v>0</v>
      </c>
      <c r="AG89" s="7">
        <f t="shared" si="33"/>
        <v>0</v>
      </c>
      <c r="AH89" s="15">
        <v>0</v>
      </c>
      <c r="AI89" s="7">
        <f t="shared" si="34"/>
        <v>0</v>
      </c>
      <c r="AJ89" s="15">
        <v>0</v>
      </c>
      <c r="AK89" s="14">
        <f t="shared" si="35"/>
        <v>0</v>
      </c>
      <c r="AL89" s="15">
        <v>0</v>
      </c>
      <c r="AM89" s="7">
        <f t="shared" si="36"/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7">
        <f t="shared" si="37"/>
        <v>0</v>
      </c>
      <c r="AT89" s="14">
        <f t="shared" si="20"/>
        <v>0</v>
      </c>
      <c r="AU89" s="14">
        <f t="shared" si="20"/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1</v>
      </c>
      <c r="BB89" s="15">
        <v>47450</v>
      </c>
      <c r="BC89" s="15">
        <v>251422</v>
      </c>
      <c r="BD89" s="15">
        <v>0</v>
      </c>
      <c r="BE89" s="15">
        <v>254551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174750.80113636365</v>
      </c>
      <c r="BQ89" s="15">
        <v>13717.185698863635</v>
      </c>
      <c r="BR89" s="14">
        <f t="shared" si="21"/>
        <v>188467.98683522729</v>
      </c>
      <c r="BS89" s="15">
        <v>58250.267045454544</v>
      </c>
      <c r="BT89" s="15">
        <v>0</v>
      </c>
      <c r="BU89" s="15">
        <v>0</v>
      </c>
      <c r="BV89" s="14">
        <f t="shared" si="22"/>
        <v>58250.267045454544</v>
      </c>
      <c r="BW89" s="15">
        <v>136349.26882244318</v>
      </c>
      <c r="BX89" s="15">
        <v>16362.566761363636</v>
      </c>
      <c r="BY89" s="15">
        <v>136349.26882244318</v>
      </c>
      <c r="BZ89" s="15">
        <v>63201.539744318186</v>
      </c>
      <c r="CA89" s="15">
        <v>0</v>
      </c>
      <c r="CB89" s="15">
        <v>352262.64415056817</v>
      </c>
      <c r="CC89" s="15">
        <v>2741210.5741676139</v>
      </c>
      <c r="CD89" s="15">
        <v>143914</v>
      </c>
      <c r="CE89" s="15">
        <v>0</v>
      </c>
      <c r="CF89" s="14">
        <f t="shared" si="23"/>
        <v>2885124.5741676139</v>
      </c>
      <c r="CG89" s="18"/>
      <c r="CH89" s="16"/>
      <c r="CI89" s="17"/>
      <c r="CJ89" s="17"/>
    </row>
    <row r="90" spans="1:88" s="13" customFormat="1" x14ac:dyDescent="0.35">
      <c r="A90" s="13">
        <v>1037975058</v>
      </c>
      <c r="B90" s="17" t="s">
        <v>97</v>
      </c>
      <c r="C90" s="17" t="s">
        <v>83</v>
      </c>
      <c r="D90" s="17" t="s">
        <v>286</v>
      </c>
      <c r="E90" s="17">
        <v>5421</v>
      </c>
      <c r="F90" s="17" t="s">
        <v>86</v>
      </c>
      <c r="G90" s="17" t="s">
        <v>87</v>
      </c>
      <c r="H90" s="17">
        <v>1037975058</v>
      </c>
      <c r="I90" s="17" t="s">
        <v>193</v>
      </c>
      <c r="J90" s="17" t="s">
        <v>94</v>
      </c>
      <c r="K90" s="17">
        <v>0</v>
      </c>
      <c r="L90" s="17">
        <v>0</v>
      </c>
      <c r="M90" s="17" t="s">
        <v>96</v>
      </c>
      <c r="N90" s="19">
        <v>45791</v>
      </c>
      <c r="O90" s="19">
        <v>1</v>
      </c>
      <c r="P90" s="20">
        <v>1423500</v>
      </c>
      <c r="Q90" s="17">
        <v>30</v>
      </c>
      <c r="R90" s="14">
        <f t="shared" si="17"/>
        <v>1423500</v>
      </c>
      <c r="S90" s="15">
        <v>200000</v>
      </c>
      <c r="T90" s="15">
        <v>0</v>
      </c>
      <c r="U90" s="7">
        <f t="shared" si="29"/>
        <v>0</v>
      </c>
      <c r="V90" s="15">
        <v>0.97</v>
      </c>
      <c r="W90" s="7">
        <f t="shared" si="30"/>
        <v>10983.596590909088</v>
      </c>
      <c r="X90" s="15">
        <v>0</v>
      </c>
      <c r="Y90" s="7">
        <f t="shared" si="28"/>
        <v>0</v>
      </c>
      <c r="Z90" s="15">
        <v>0</v>
      </c>
      <c r="AA90" s="7">
        <f t="shared" si="31"/>
        <v>0</v>
      </c>
      <c r="AB90" s="15">
        <v>0</v>
      </c>
      <c r="AC90" s="14">
        <f t="shared" si="32"/>
        <v>0</v>
      </c>
      <c r="AD90" s="14">
        <f t="shared" si="18"/>
        <v>0.97</v>
      </c>
      <c r="AE90" s="14">
        <f t="shared" si="19"/>
        <v>10983.596590909088</v>
      </c>
      <c r="AF90" s="15">
        <v>0</v>
      </c>
      <c r="AG90" s="7">
        <f t="shared" si="33"/>
        <v>0</v>
      </c>
      <c r="AH90" s="15">
        <v>0</v>
      </c>
      <c r="AI90" s="7">
        <f t="shared" si="34"/>
        <v>0</v>
      </c>
      <c r="AJ90" s="15">
        <v>0</v>
      </c>
      <c r="AK90" s="14">
        <f t="shared" si="35"/>
        <v>0</v>
      </c>
      <c r="AL90" s="15">
        <v>0</v>
      </c>
      <c r="AM90" s="7">
        <f t="shared" si="36"/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61.830000000000005</v>
      </c>
      <c r="AS90" s="7">
        <f t="shared" si="37"/>
        <v>140023.87159090908</v>
      </c>
      <c r="AT90" s="14">
        <f t="shared" si="20"/>
        <v>61.830000000000005</v>
      </c>
      <c r="AU90" s="14">
        <f t="shared" si="20"/>
        <v>140023.87159090908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260092</v>
      </c>
      <c r="BD90" s="15">
        <v>0</v>
      </c>
      <c r="BE90" s="15">
        <v>263329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188940.89618181816</v>
      </c>
      <c r="BQ90" s="15">
        <v>16437.857967818181</v>
      </c>
      <c r="BR90" s="14">
        <f t="shared" si="21"/>
        <v>205378.75414963634</v>
      </c>
      <c r="BS90" s="15">
        <v>62980.298727272726</v>
      </c>
      <c r="BT90" s="15">
        <v>0</v>
      </c>
      <c r="BU90" s="15">
        <v>0</v>
      </c>
      <c r="BV90" s="14">
        <f t="shared" si="22"/>
        <v>62980.298727272726</v>
      </c>
      <c r="BW90" s="15">
        <v>147869.7073235909</v>
      </c>
      <c r="BX90" s="15">
        <v>17745.07468181818</v>
      </c>
      <c r="BY90" s="15">
        <v>147869.7073235909</v>
      </c>
      <c r="BZ90" s="15">
        <v>68333.624119090906</v>
      </c>
      <c r="CA90" s="15">
        <v>0</v>
      </c>
      <c r="CB90" s="15">
        <v>381818.11344809091</v>
      </c>
      <c r="CC90" s="15">
        <v>2948105.6345068184</v>
      </c>
      <c r="CD90" s="15">
        <v>126474</v>
      </c>
      <c r="CE90" s="15">
        <v>0</v>
      </c>
      <c r="CF90" s="14">
        <f t="shared" si="23"/>
        <v>3074579.6345068184</v>
      </c>
      <c r="CG90" s="18"/>
      <c r="CH90" s="16"/>
      <c r="CI90" s="15"/>
      <c r="CJ90" s="15"/>
    </row>
    <row r="91" spans="1:88" s="13" customFormat="1" x14ac:dyDescent="0.35">
      <c r="A91" s="13">
        <v>1095300475</v>
      </c>
      <c r="B91" s="17" t="s">
        <v>97</v>
      </c>
      <c r="C91" s="17" t="s">
        <v>83</v>
      </c>
      <c r="D91" s="17" t="s">
        <v>286</v>
      </c>
      <c r="E91" s="17">
        <v>5641</v>
      </c>
      <c r="F91" s="17" t="s">
        <v>98</v>
      </c>
      <c r="G91" s="17" t="s">
        <v>99</v>
      </c>
      <c r="H91" s="17">
        <v>1095300475</v>
      </c>
      <c r="I91" s="17" t="s">
        <v>194</v>
      </c>
      <c r="J91" s="17" t="s">
        <v>94</v>
      </c>
      <c r="K91" s="17">
        <v>0</v>
      </c>
      <c r="L91" s="17">
        <v>0</v>
      </c>
      <c r="M91" s="17" t="s">
        <v>96</v>
      </c>
      <c r="N91" s="19">
        <v>45798</v>
      </c>
      <c r="O91" s="19">
        <v>1</v>
      </c>
      <c r="P91" s="20">
        <v>782924.99965959787</v>
      </c>
      <c r="Q91" s="17">
        <v>30</v>
      </c>
      <c r="R91" s="14">
        <f t="shared" si="17"/>
        <v>782924.99965959787</v>
      </c>
      <c r="S91" s="15">
        <v>200000</v>
      </c>
      <c r="T91" s="15">
        <v>2</v>
      </c>
      <c r="U91" s="7">
        <f t="shared" si="29"/>
        <v>8896.8749961317935</v>
      </c>
      <c r="V91" s="15">
        <v>0</v>
      </c>
      <c r="W91" s="7">
        <f t="shared" si="30"/>
        <v>0</v>
      </c>
      <c r="X91" s="15">
        <v>0</v>
      </c>
      <c r="Y91" s="7">
        <f t="shared" si="28"/>
        <v>0</v>
      </c>
      <c r="Z91" s="15">
        <v>0</v>
      </c>
      <c r="AA91" s="7">
        <f t="shared" si="31"/>
        <v>0</v>
      </c>
      <c r="AB91" s="15">
        <v>0</v>
      </c>
      <c r="AC91" s="14">
        <f t="shared" si="32"/>
        <v>0</v>
      </c>
      <c r="AD91" s="14">
        <f t="shared" si="18"/>
        <v>2</v>
      </c>
      <c r="AE91" s="14">
        <f t="shared" si="19"/>
        <v>8896.8749961317935</v>
      </c>
      <c r="AF91" s="15">
        <v>0</v>
      </c>
      <c r="AG91" s="7">
        <f t="shared" si="33"/>
        <v>0</v>
      </c>
      <c r="AH91" s="15">
        <v>0</v>
      </c>
      <c r="AI91" s="7">
        <f t="shared" si="34"/>
        <v>0</v>
      </c>
      <c r="AJ91" s="15">
        <v>0</v>
      </c>
      <c r="AK91" s="14">
        <f t="shared" si="35"/>
        <v>0</v>
      </c>
      <c r="AL91" s="15">
        <v>0</v>
      </c>
      <c r="AM91" s="7">
        <f t="shared" si="36"/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15</v>
      </c>
      <c r="AS91" s="7">
        <f t="shared" si="37"/>
        <v>18683.437491876768</v>
      </c>
      <c r="AT91" s="14">
        <f t="shared" si="20"/>
        <v>15</v>
      </c>
      <c r="AU91" s="14">
        <f t="shared" si="20"/>
        <v>18683.437491876768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195069</v>
      </c>
      <c r="BD91" s="15">
        <v>0</v>
      </c>
      <c r="BE91" s="15">
        <v>197497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187902</v>
      </c>
      <c r="BQ91" s="15">
        <v>16347.474</v>
      </c>
      <c r="BR91" s="14">
        <f t="shared" si="21"/>
        <v>204249.47399999999</v>
      </c>
      <c r="BS91" s="15">
        <v>62634</v>
      </c>
      <c r="BT91" s="15">
        <v>0</v>
      </c>
      <c r="BU91" s="15">
        <v>0</v>
      </c>
      <c r="BV91" s="14">
        <f t="shared" si="22"/>
        <v>62634</v>
      </c>
      <c r="BW91" s="15">
        <v>130482.28050000001</v>
      </c>
      <c r="BX91" s="15">
        <v>13019.678123178075</v>
      </c>
      <c r="BY91" s="15">
        <v>130482.28050000001</v>
      </c>
      <c r="BZ91" s="15">
        <v>67957.89</v>
      </c>
      <c r="CA91" s="15">
        <v>0</v>
      </c>
      <c r="CB91" s="15">
        <v>341942.12912317808</v>
      </c>
      <c r="CC91" s="15">
        <v>2011896.9152707844</v>
      </c>
      <c r="CD91" s="15">
        <v>105625</v>
      </c>
      <c r="CE91" s="15">
        <v>0</v>
      </c>
      <c r="CF91" s="14">
        <f t="shared" si="23"/>
        <v>2117521.9152707844</v>
      </c>
      <c r="CG91" s="18"/>
      <c r="CH91" s="16"/>
      <c r="CI91" s="17"/>
      <c r="CJ91" s="17"/>
    </row>
    <row r="92" spans="1:88" s="13" customFormat="1" x14ac:dyDescent="0.35">
      <c r="A92" s="13">
        <v>1000733944</v>
      </c>
      <c r="B92" s="17" t="s">
        <v>95</v>
      </c>
      <c r="C92" s="17" t="s">
        <v>83</v>
      </c>
      <c r="D92" s="17" t="s">
        <v>286</v>
      </c>
      <c r="E92" s="17">
        <v>6571</v>
      </c>
      <c r="F92" s="17" t="s">
        <v>88</v>
      </c>
      <c r="G92" s="17" t="s">
        <v>89</v>
      </c>
      <c r="H92" s="17">
        <v>1000733944</v>
      </c>
      <c r="I92" s="17" t="s">
        <v>195</v>
      </c>
      <c r="J92" s="17" t="s">
        <v>94</v>
      </c>
      <c r="K92" s="17">
        <v>0</v>
      </c>
      <c r="L92" s="17">
        <v>0</v>
      </c>
      <c r="M92" s="17" t="s">
        <v>96</v>
      </c>
      <c r="N92" s="19">
        <v>45772</v>
      </c>
      <c r="O92" s="19">
        <v>1</v>
      </c>
      <c r="P92" s="20">
        <v>1423500</v>
      </c>
      <c r="Q92" s="17">
        <v>30</v>
      </c>
      <c r="R92" s="14">
        <f t="shared" si="17"/>
        <v>1423500</v>
      </c>
      <c r="S92" s="15">
        <v>200000</v>
      </c>
      <c r="T92" s="15">
        <v>0</v>
      </c>
      <c r="U92" s="7">
        <f t="shared" si="29"/>
        <v>0</v>
      </c>
      <c r="V92" s="15">
        <v>3</v>
      </c>
      <c r="W92" s="7">
        <f t="shared" si="30"/>
        <v>33969.88636363636</v>
      </c>
      <c r="X92" s="15">
        <v>0</v>
      </c>
      <c r="Y92" s="7">
        <f t="shared" si="28"/>
        <v>0</v>
      </c>
      <c r="Z92" s="15">
        <v>0</v>
      </c>
      <c r="AA92" s="7">
        <f t="shared" si="31"/>
        <v>0</v>
      </c>
      <c r="AB92" s="15">
        <v>0</v>
      </c>
      <c r="AC92" s="14">
        <f t="shared" si="32"/>
        <v>0</v>
      </c>
      <c r="AD92" s="14">
        <f t="shared" si="18"/>
        <v>3</v>
      </c>
      <c r="AE92" s="14">
        <f t="shared" si="19"/>
        <v>33969.88636363636</v>
      </c>
      <c r="AF92" s="15">
        <v>0</v>
      </c>
      <c r="AG92" s="7">
        <f t="shared" si="33"/>
        <v>0</v>
      </c>
      <c r="AH92" s="15">
        <v>0</v>
      </c>
      <c r="AI92" s="7">
        <f t="shared" si="34"/>
        <v>0</v>
      </c>
      <c r="AJ92" s="15">
        <v>0</v>
      </c>
      <c r="AK92" s="14">
        <f t="shared" si="35"/>
        <v>0</v>
      </c>
      <c r="AL92" s="15">
        <v>0</v>
      </c>
      <c r="AM92" s="7">
        <f t="shared" si="36"/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56.02</v>
      </c>
      <c r="AS92" s="7">
        <f t="shared" si="37"/>
        <v>126866.20227272727</v>
      </c>
      <c r="AT92" s="14">
        <f t="shared" si="20"/>
        <v>56.02</v>
      </c>
      <c r="AU92" s="14">
        <f t="shared" si="20"/>
        <v>126866.20227272727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110000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203327</v>
      </c>
      <c r="BQ92" s="15">
        <v>41300</v>
      </c>
      <c r="BR92" s="14">
        <f t="shared" si="21"/>
        <v>244627</v>
      </c>
      <c r="BS92" s="15">
        <v>67800</v>
      </c>
      <c r="BT92" s="15">
        <v>0</v>
      </c>
      <c r="BU92" s="15">
        <v>0</v>
      </c>
      <c r="BV92" s="14">
        <f t="shared" si="22"/>
        <v>67800</v>
      </c>
      <c r="BW92" s="15">
        <v>157855</v>
      </c>
      <c r="BX92" s="15">
        <v>18943</v>
      </c>
      <c r="BY92" s="15">
        <v>157855</v>
      </c>
      <c r="BZ92" s="15">
        <v>73534</v>
      </c>
      <c r="CA92" s="15">
        <v>0</v>
      </c>
      <c r="CB92" s="15">
        <v>408187</v>
      </c>
      <c r="CC92" s="15">
        <v>2614950</v>
      </c>
      <c r="CD92" s="15">
        <v>156899</v>
      </c>
      <c r="CE92" s="15">
        <v>0</v>
      </c>
      <c r="CF92" s="14">
        <f t="shared" si="23"/>
        <v>2771849.0886363639</v>
      </c>
      <c r="CG92" s="18"/>
      <c r="CH92" s="16"/>
      <c r="CI92" s="15"/>
      <c r="CJ92" s="15"/>
    </row>
    <row r="93" spans="1:88" s="13" customFormat="1" x14ac:dyDescent="0.35">
      <c r="A93" s="13">
        <v>1001346779</v>
      </c>
      <c r="B93" s="17" t="s">
        <v>95</v>
      </c>
      <c r="C93" s="17" t="s">
        <v>83</v>
      </c>
      <c r="D93" s="17" t="s">
        <v>286</v>
      </c>
      <c r="E93" s="17">
        <v>6571</v>
      </c>
      <c r="F93" s="17" t="s">
        <v>88</v>
      </c>
      <c r="G93" s="17" t="s">
        <v>89</v>
      </c>
      <c r="H93" s="17">
        <v>1001346779</v>
      </c>
      <c r="I93" s="17" t="s">
        <v>196</v>
      </c>
      <c r="J93" s="17" t="s">
        <v>94</v>
      </c>
      <c r="K93" s="17">
        <v>0</v>
      </c>
      <c r="L93" s="17">
        <v>0</v>
      </c>
      <c r="M93" s="17" t="s">
        <v>96</v>
      </c>
      <c r="N93" s="19">
        <v>45772</v>
      </c>
      <c r="O93" s="19">
        <v>45876</v>
      </c>
      <c r="P93" s="20">
        <v>782925</v>
      </c>
      <c r="Q93" s="17">
        <v>7</v>
      </c>
      <c r="R93" s="14">
        <f t="shared" si="17"/>
        <v>182682.5</v>
      </c>
      <c r="S93" s="15">
        <v>46667</v>
      </c>
      <c r="T93" s="15">
        <v>0</v>
      </c>
      <c r="U93" s="7">
        <f t="shared" ref="U93:U94" si="51">+P93/110*T93*1.25</f>
        <v>0</v>
      </c>
      <c r="V93" s="15">
        <v>0</v>
      </c>
      <c r="W93" s="7">
        <f t="shared" ref="W93:W95" si="52">+P93/110*V93*1.75</f>
        <v>0</v>
      </c>
      <c r="X93" s="15">
        <v>0</v>
      </c>
      <c r="Y93" s="7">
        <f t="shared" si="28"/>
        <v>0</v>
      </c>
      <c r="Z93" s="15">
        <v>0</v>
      </c>
      <c r="AA93" s="7">
        <f t="shared" si="31"/>
        <v>0</v>
      </c>
      <c r="AB93" s="15">
        <v>0</v>
      </c>
      <c r="AC93" s="14">
        <f t="shared" si="32"/>
        <v>0</v>
      </c>
      <c r="AD93" s="14">
        <f t="shared" si="18"/>
        <v>0</v>
      </c>
      <c r="AE93" s="14">
        <f t="shared" si="19"/>
        <v>0</v>
      </c>
      <c r="AF93" s="15">
        <v>0</v>
      </c>
      <c r="AG93" s="7">
        <f t="shared" ref="AG93:AG95" si="53">+P93/110*AF93*1.8</f>
        <v>0</v>
      </c>
      <c r="AH93" s="15">
        <v>0</v>
      </c>
      <c r="AI93" s="7">
        <f t="shared" si="34"/>
        <v>0</v>
      </c>
      <c r="AJ93" s="15">
        <v>0</v>
      </c>
      <c r="AK93" s="14">
        <f t="shared" si="35"/>
        <v>0</v>
      </c>
      <c r="AL93" s="15">
        <v>0</v>
      </c>
      <c r="AM93" s="7">
        <f t="shared" si="36"/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92.87</v>
      </c>
      <c r="AS93" s="7">
        <f t="shared" ref="AS93:AS94" si="54">+P93/110*AR93*0.35</f>
        <v>231350.77874999997</v>
      </c>
      <c r="AT93" s="14">
        <f t="shared" si="20"/>
        <v>92.87</v>
      </c>
      <c r="AU93" s="14">
        <f t="shared" si="20"/>
        <v>231350.77874999997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10000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50978</v>
      </c>
      <c r="BQ93" s="15">
        <v>10400</v>
      </c>
      <c r="BR93" s="14">
        <f t="shared" si="21"/>
        <v>61378</v>
      </c>
      <c r="BS93" s="15">
        <v>17000</v>
      </c>
      <c r="BT93" s="15">
        <v>0</v>
      </c>
      <c r="BU93" s="15">
        <v>0</v>
      </c>
      <c r="BV93" s="14">
        <f t="shared" si="22"/>
        <v>17000</v>
      </c>
      <c r="BW93" s="15">
        <v>39224</v>
      </c>
      <c r="BX93" s="15">
        <v>4707</v>
      </c>
      <c r="BY93" s="15">
        <v>39224</v>
      </c>
      <c r="BZ93" s="15">
        <v>18403</v>
      </c>
      <c r="CA93" s="15">
        <v>0</v>
      </c>
      <c r="CB93" s="15">
        <v>101558</v>
      </c>
      <c r="CC93" s="15">
        <v>650637</v>
      </c>
      <c r="CD93" s="15">
        <v>39038</v>
      </c>
      <c r="CE93" s="15">
        <v>0</v>
      </c>
      <c r="CF93" s="14">
        <f t="shared" si="23"/>
        <v>689674.27874999994</v>
      </c>
      <c r="CG93" s="18"/>
      <c r="CH93" s="16"/>
      <c r="CI93" s="17"/>
      <c r="CJ93" s="15"/>
    </row>
    <row r="94" spans="1:88" s="13" customFormat="1" x14ac:dyDescent="0.35">
      <c r="A94" s="13">
        <v>1016001662</v>
      </c>
      <c r="B94" s="17" t="s">
        <v>95</v>
      </c>
      <c r="C94" s="17" t="s">
        <v>83</v>
      </c>
      <c r="D94" s="17" t="s">
        <v>286</v>
      </c>
      <c r="E94" s="17">
        <v>6571</v>
      </c>
      <c r="F94" s="17" t="s">
        <v>88</v>
      </c>
      <c r="G94" s="17" t="s">
        <v>89</v>
      </c>
      <c r="H94" s="17">
        <v>1016001662</v>
      </c>
      <c r="I94" s="17" t="s">
        <v>197</v>
      </c>
      <c r="J94" s="17" t="s">
        <v>94</v>
      </c>
      <c r="K94" s="17">
        <v>0</v>
      </c>
      <c r="L94" s="17">
        <v>0</v>
      </c>
      <c r="M94" s="17" t="s">
        <v>96</v>
      </c>
      <c r="N94" s="19">
        <v>45772</v>
      </c>
      <c r="O94" s="19">
        <v>45868</v>
      </c>
      <c r="P94" s="20">
        <v>782925</v>
      </c>
      <c r="Q94" s="17">
        <v>4</v>
      </c>
      <c r="R94" s="14">
        <f t="shared" si="17"/>
        <v>104390</v>
      </c>
      <c r="S94" s="15">
        <v>-26666</v>
      </c>
      <c r="T94" s="15">
        <v>0</v>
      </c>
      <c r="U94" s="7">
        <f t="shared" si="51"/>
        <v>0</v>
      </c>
      <c r="V94" s="15">
        <v>0</v>
      </c>
      <c r="W94" s="7">
        <f t="shared" si="52"/>
        <v>0</v>
      </c>
      <c r="X94" s="15">
        <v>0</v>
      </c>
      <c r="Y94" s="7">
        <f t="shared" si="28"/>
        <v>0</v>
      </c>
      <c r="Z94" s="15">
        <v>0</v>
      </c>
      <c r="AA94" s="7">
        <f t="shared" si="31"/>
        <v>0</v>
      </c>
      <c r="AB94" s="15">
        <v>0</v>
      </c>
      <c r="AC94" s="14">
        <f t="shared" si="32"/>
        <v>0</v>
      </c>
      <c r="AD94" s="14">
        <f t="shared" si="18"/>
        <v>0</v>
      </c>
      <c r="AE94" s="14">
        <f t="shared" si="19"/>
        <v>0</v>
      </c>
      <c r="AF94" s="15">
        <v>0</v>
      </c>
      <c r="AG94" s="7">
        <f t="shared" si="53"/>
        <v>0</v>
      </c>
      <c r="AH94" s="15">
        <v>0</v>
      </c>
      <c r="AI94" s="7">
        <f t="shared" si="34"/>
        <v>0</v>
      </c>
      <c r="AJ94" s="15">
        <v>0</v>
      </c>
      <c r="AK94" s="14">
        <f t="shared" si="35"/>
        <v>0</v>
      </c>
      <c r="AL94" s="15">
        <v>0</v>
      </c>
      <c r="AM94" s="7">
        <f t="shared" si="36"/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51.2667</v>
      </c>
      <c r="AS94" s="7">
        <f t="shared" si="54"/>
        <v>127711.7580375</v>
      </c>
      <c r="AT94" s="14">
        <f t="shared" si="20"/>
        <v>51.2667</v>
      </c>
      <c r="AU94" s="14">
        <f t="shared" si="20"/>
        <v>127711.7580375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25979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-4600</v>
      </c>
      <c r="BR94" s="14">
        <f t="shared" si="21"/>
        <v>-4600</v>
      </c>
      <c r="BS94" s="15">
        <v>900</v>
      </c>
      <c r="BT94" s="15">
        <v>0</v>
      </c>
      <c r="BU94" s="15">
        <v>0</v>
      </c>
      <c r="BV94" s="14">
        <f t="shared" si="22"/>
        <v>900</v>
      </c>
      <c r="BW94" s="15">
        <v>21656</v>
      </c>
      <c r="BX94" s="15">
        <v>2599</v>
      </c>
      <c r="BY94" s="15">
        <v>21656</v>
      </c>
      <c r="BZ94" s="15">
        <v>13702</v>
      </c>
      <c r="CA94" s="15">
        <v>0</v>
      </c>
      <c r="CB94" s="15">
        <v>59613</v>
      </c>
      <c r="CC94" s="15">
        <v>268348</v>
      </c>
      <c r="CD94" s="15">
        <v>-2877</v>
      </c>
      <c r="CE94" s="15">
        <v>0</v>
      </c>
      <c r="CF94" s="14">
        <f t="shared" si="23"/>
        <v>284450.75803749997</v>
      </c>
      <c r="CG94" s="18"/>
      <c r="CH94" s="16"/>
      <c r="CI94" s="17"/>
      <c r="CJ94" s="17"/>
    </row>
    <row r="95" spans="1:88" s="13" customFormat="1" x14ac:dyDescent="0.35">
      <c r="A95" s="13">
        <v>1003203856</v>
      </c>
      <c r="B95" s="17" t="s">
        <v>95</v>
      </c>
      <c r="C95" s="17" t="s">
        <v>83</v>
      </c>
      <c r="D95" s="17" t="s">
        <v>286</v>
      </c>
      <c r="E95" s="17">
        <v>6571</v>
      </c>
      <c r="F95" s="17" t="s">
        <v>88</v>
      </c>
      <c r="G95" s="17" t="s">
        <v>89</v>
      </c>
      <c r="H95" s="17">
        <v>1003203856</v>
      </c>
      <c r="I95" s="17" t="s">
        <v>198</v>
      </c>
      <c r="J95" s="17" t="s">
        <v>94</v>
      </c>
      <c r="K95" s="17">
        <v>0</v>
      </c>
      <c r="L95" s="17">
        <v>0</v>
      </c>
      <c r="M95" s="17" t="s">
        <v>96</v>
      </c>
      <c r="N95" s="19">
        <v>45772</v>
      </c>
      <c r="O95" s="19">
        <v>45846</v>
      </c>
      <c r="P95" s="20">
        <v>782925</v>
      </c>
      <c r="Q95" s="17">
        <v>0</v>
      </c>
      <c r="R95" s="14">
        <f t="shared" si="17"/>
        <v>0</v>
      </c>
      <c r="S95" s="15">
        <v>0</v>
      </c>
      <c r="T95" s="15">
        <v>0.85</v>
      </c>
      <c r="U95" s="7">
        <f>+P95/115*T95*1.25</f>
        <v>7233.546195652174</v>
      </c>
      <c r="V95" s="15">
        <v>0</v>
      </c>
      <c r="W95" s="7">
        <f t="shared" si="52"/>
        <v>0</v>
      </c>
      <c r="X95" s="15">
        <v>0</v>
      </c>
      <c r="Y95" s="7">
        <f t="shared" si="28"/>
        <v>0</v>
      </c>
      <c r="Z95" s="15">
        <v>0</v>
      </c>
      <c r="AA95" s="7">
        <f t="shared" si="31"/>
        <v>0</v>
      </c>
      <c r="AB95" s="15">
        <v>0</v>
      </c>
      <c r="AC95" s="14">
        <f t="shared" si="32"/>
        <v>0</v>
      </c>
      <c r="AD95" s="14">
        <f t="shared" si="18"/>
        <v>0.85</v>
      </c>
      <c r="AE95" s="14">
        <f t="shared" si="19"/>
        <v>7233.546195652174</v>
      </c>
      <c r="AF95" s="15">
        <v>0</v>
      </c>
      <c r="AG95" s="7">
        <f t="shared" si="53"/>
        <v>0</v>
      </c>
      <c r="AH95" s="15">
        <v>0</v>
      </c>
      <c r="AI95" s="7">
        <f t="shared" si="34"/>
        <v>0</v>
      </c>
      <c r="AJ95" s="15">
        <v>0</v>
      </c>
      <c r="AK95" s="14">
        <f t="shared" si="35"/>
        <v>0</v>
      </c>
      <c r="AL95" s="15">
        <v>0</v>
      </c>
      <c r="AM95" s="7">
        <f t="shared" si="36"/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79.88</v>
      </c>
      <c r="AS95" s="7">
        <f>+P95/115*AR95*0.35</f>
        <v>190339.27956521738</v>
      </c>
      <c r="AT95" s="14">
        <f t="shared" si="20"/>
        <v>79.88</v>
      </c>
      <c r="AU95" s="14">
        <f t="shared" si="20"/>
        <v>190339.27956521738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10000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4460</v>
      </c>
      <c r="BQ95" s="15">
        <v>900</v>
      </c>
      <c r="BR95" s="14">
        <f t="shared" si="21"/>
        <v>5360</v>
      </c>
      <c r="BS95" s="15">
        <v>8300</v>
      </c>
      <c r="BT95" s="15">
        <v>0</v>
      </c>
      <c r="BU95" s="15">
        <v>0</v>
      </c>
      <c r="BV95" s="14">
        <f t="shared" si="22"/>
        <v>8300</v>
      </c>
      <c r="BW95" s="15">
        <v>17297</v>
      </c>
      <c r="BX95" s="15">
        <v>2076</v>
      </c>
      <c r="BY95" s="15">
        <v>17297</v>
      </c>
      <c r="BZ95" s="15">
        <v>9009</v>
      </c>
      <c r="CA95" s="15">
        <v>0</v>
      </c>
      <c r="CB95" s="15">
        <v>45679</v>
      </c>
      <c r="CC95" s="15">
        <v>266912</v>
      </c>
      <c r="CD95" s="15">
        <v>16015</v>
      </c>
      <c r="CE95" s="15">
        <v>0</v>
      </c>
      <c r="CF95" s="14">
        <f t="shared" si="23"/>
        <v>282926.82576086954</v>
      </c>
      <c r="CG95" s="18"/>
      <c r="CH95" s="16"/>
      <c r="CI95" s="17"/>
      <c r="CJ95" s="17"/>
    </row>
    <row r="96" spans="1:88" s="13" customFormat="1" x14ac:dyDescent="0.35">
      <c r="A96" s="13">
        <v>1073234617</v>
      </c>
      <c r="B96" s="17" t="s">
        <v>95</v>
      </c>
      <c r="C96" s="17" t="s">
        <v>83</v>
      </c>
      <c r="D96" s="17" t="s">
        <v>286</v>
      </c>
      <c r="E96" s="17">
        <v>6563</v>
      </c>
      <c r="F96" s="17" t="s">
        <v>84</v>
      </c>
      <c r="G96" s="17" t="s">
        <v>85</v>
      </c>
      <c r="H96" s="17">
        <v>1073234617</v>
      </c>
      <c r="I96" s="17" t="s">
        <v>199</v>
      </c>
      <c r="J96" s="17" t="s">
        <v>94</v>
      </c>
      <c r="K96" s="17">
        <v>0</v>
      </c>
      <c r="L96" s="17">
        <v>0</v>
      </c>
      <c r="M96" s="17" t="s">
        <v>96</v>
      </c>
      <c r="N96" s="19">
        <v>45775</v>
      </c>
      <c r="O96" s="19">
        <v>1</v>
      </c>
      <c r="P96" s="20">
        <v>1423500</v>
      </c>
      <c r="Q96" s="17">
        <v>25</v>
      </c>
      <c r="R96" s="14">
        <f t="shared" si="17"/>
        <v>1186250</v>
      </c>
      <c r="S96" s="15">
        <v>166667</v>
      </c>
      <c r="T96" s="15">
        <v>2.4</v>
      </c>
      <c r="U96" s="7">
        <f t="shared" si="29"/>
        <v>19411.363636363636</v>
      </c>
      <c r="V96" s="15">
        <v>4.5199999999999996</v>
      </c>
      <c r="W96" s="7">
        <f t="shared" si="30"/>
        <v>51181.295454545449</v>
      </c>
      <c r="X96" s="15">
        <v>0</v>
      </c>
      <c r="Y96" s="7">
        <f t="shared" si="28"/>
        <v>0</v>
      </c>
      <c r="Z96" s="15">
        <v>0</v>
      </c>
      <c r="AA96" s="7">
        <f t="shared" si="31"/>
        <v>0</v>
      </c>
      <c r="AB96" s="15">
        <v>0</v>
      </c>
      <c r="AC96" s="14">
        <f t="shared" si="32"/>
        <v>0</v>
      </c>
      <c r="AD96" s="14">
        <f t="shared" si="18"/>
        <v>6.92</v>
      </c>
      <c r="AE96" s="14">
        <f t="shared" si="19"/>
        <v>70592.659090909088</v>
      </c>
      <c r="AF96" s="15">
        <v>0</v>
      </c>
      <c r="AG96" s="7">
        <f t="shared" si="33"/>
        <v>0</v>
      </c>
      <c r="AH96" s="15">
        <v>0</v>
      </c>
      <c r="AI96" s="7">
        <f t="shared" si="34"/>
        <v>0</v>
      </c>
      <c r="AJ96" s="15">
        <v>0</v>
      </c>
      <c r="AK96" s="14">
        <f t="shared" si="35"/>
        <v>0</v>
      </c>
      <c r="AL96" s="15">
        <v>0</v>
      </c>
      <c r="AM96" s="7">
        <f t="shared" si="36"/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32</v>
      </c>
      <c r="AS96" s="7">
        <f t="shared" si="37"/>
        <v>72469.090909090897</v>
      </c>
      <c r="AT96" s="14">
        <f t="shared" si="20"/>
        <v>32</v>
      </c>
      <c r="AU96" s="14">
        <f t="shared" si="20"/>
        <v>72469.090909090897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208928</v>
      </c>
      <c r="BQ96" s="15">
        <v>32400</v>
      </c>
      <c r="BR96" s="14">
        <f t="shared" si="21"/>
        <v>241328</v>
      </c>
      <c r="BS96" s="15">
        <v>53200</v>
      </c>
      <c r="BT96" s="15">
        <v>0</v>
      </c>
      <c r="BU96" s="15">
        <v>0</v>
      </c>
      <c r="BV96" s="14">
        <f t="shared" si="22"/>
        <v>53200</v>
      </c>
      <c r="BW96" s="15">
        <v>124660</v>
      </c>
      <c r="BX96" s="15">
        <v>14960</v>
      </c>
      <c r="BY96" s="15">
        <v>124660</v>
      </c>
      <c r="BZ96" s="15">
        <v>57692</v>
      </c>
      <c r="CA96" s="15">
        <v>0</v>
      </c>
      <c r="CB96" s="15">
        <v>321972</v>
      </c>
      <c r="CC96" s="15">
        <v>2112478</v>
      </c>
      <c r="CD96" s="15">
        <v>126748</v>
      </c>
      <c r="CE96" s="15">
        <v>0</v>
      </c>
      <c r="CF96" s="14">
        <f t="shared" si="23"/>
        <v>2239226.75</v>
      </c>
      <c r="CG96" s="18"/>
      <c r="CH96" s="16"/>
      <c r="CI96" s="17"/>
      <c r="CJ96" s="17"/>
    </row>
    <row r="97" spans="1:88" s="13" customFormat="1" x14ac:dyDescent="0.35">
      <c r="A97" s="13">
        <v>1004753417</v>
      </c>
      <c r="B97" s="17" t="s">
        <v>95</v>
      </c>
      <c r="C97" s="17" t="s">
        <v>83</v>
      </c>
      <c r="D97" s="17" t="s">
        <v>286</v>
      </c>
      <c r="E97" s="17">
        <v>5358</v>
      </c>
      <c r="F97" s="17" t="s">
        <v>90</v>
      </c>
      <c r="G97" s="17" t="s">
        <v>91</v>
      </c>
      <c r="H97" s="17">
        <v>1004753417</v>
      </c>
      <c r="I97" s="17" t="s">
        <v>200</v>
      </c>
      <c r="J97" s="17" t="s">
        <v>94</v>
      </c>
      <c r="K97" s="17">
        <v>0</v>
      </c>
      <c r="L97" s="17">
        <v>0</v>
      </c>
      <c r="M97" s="17" t="s">
        <v>96</v>
      </c>
      <c r="N97" s="19">
        <v>45779</v>
      </c>
      <c r="O97" s="19">
        <v>1</v>
      </c>
      <c r="P97" s="20">
        <v>782925</v>
      </c>
      <c r="Q97" s="17">
        <v>30</v>
      </c>
      <c r="R97" s="14">
        <f t="shared" si="17"/>
        <v>782925</v>
      </c>
      <c r="S97" s="15">
        <v>200000</v>
      </c>
      <c r="T97" s="15">
        <v>12.72</v>
      </c>
      <c r="U97" s="7">
        <f>+P97/110*T97*1.25</f>
        <v>113168.25</v>
      </c>
      <c r="V97" s="15">
        <v>0</v>
      </c>
      <c r="W97" s="7">
        <f>+P97/110*V97*1.75</f>
        <v>0</v>
      </c>
      <c r="X97" s="15">
        <v>0</v>
      </c>
      <c r="Y97" s="7">
        <f t="shared" si="28"/>
        <v>0</v>
      </c>
      <c r="Z97" s="15">
        <v>0</v>
      </c>
      <c r="AA97" s="7">
        <f t="shared" si="31"/>
        <v>0</v>
      </c>
      <c r="AB97" s="15">
        <v>0</v>
      </c>
      <c r="AC97" s="14">
        <f t="shared" si="32"/>
        <v>0</v>
      </c>
      <c r="AD97" s="14">
        <f t="shared" si="18"/>
        <v>12.72</v>
      </c>
      <c r="AE97" s="14">
        <f t="shared" si="19"/>
        <v>113168.25</v>
      </c>
      <c r="AF97" s="15">
        <v>0</v>
      </c>
      <c r="AG97" s="7">
        <f>+P97/110*AF97*1.8</f>
        <v>0</v>
      </c>
      <c r="AH97" s="15">
        <v>0</v>
      </c>
      <c r="AI97" s="7">
        <f t="shared" si="34"/>
        <v>0</v>
      </c>
      <c r="AJ97" s="15">
        <v>0</v>
      </c>
      <c r="AK97" s="14">
        <f t="shared" si="35"/>
        <v>0</v>
      </c>
      <c r="AL97" s="15">
        <v>0</v>
      </c>
      <c r="AM97" s="7">
        <f t="shared" si="36"/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22.25</v>
      </c>
      <c r="AS97" s="7">
        <f>+P97/110*AR97*0.35</f>
        <v>55427.53125</v>
      </c>
      <c r="AT97" s="14">
        <f t="shared" si="20"/>
        <v>22.25</v>
      </c>
      <c r="AU97" s="14">
        <f t="shared" si="20"/>
        <v>55427.53125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195069</v>
      </c>
      <c r="BD97" s="15">
        <v>0</v>
      </c>
      <c r="BE97" s="15">
        <v>197497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170860</v>
      </c>
      <c r="BQ97" s="15">
        <v>34700</v>
      </c>
      <c r="BR97" s="14">
        <f t="shared" si="21"/>
        <v>205560</v>
      </c>
      <c r="BS97" s="15">
        <v>38100</v>
      </c>
      <c r="BT97" s="15">
        <v>0</v>
      </c>
      <c r="BU97" s="15">
        <v>0</v>
      </c>
      <c r="BV97" s="14">
        <f t="shared" si="22"/>
        <v>38100</v>
      </c>
      <c r="BW97" s="15">
        <v>95956</v>
      </c>
      <c r="BX97" s="15">
        <v>11515</v>
      </c>
      <c r="BY97" s="15">
        <v>95956</v>
      </c>
      <c r="BZ97" s="15">
        <v>41295</v>
      </c>
      <c r="CA97" s="15">
        <v>0</v>
      </c>
      <c r="CB97" s="15">
        <v>244722</v>
      </c>
      <c r="CC97" s="15">
        <v>2032470</v>
      </c>
      <c r="CD97" s="15">
        <v>121948</v>
      </c>
      <c r="CE97" s="15">
        <v>0</v>
      </c>
      <c r="CF97" s="14">
        <f t="shared" si="23"/>
        <v>2154416.78125</v>
      </c>
      <c r="CG97" s="18"/>
      <c r="CH97" s="16"/>
      <c r="CI97" s="17"/>
      <c r="CJ97" s="17"/>
    </row>
    <row r="98" spans="1:88" s="13" customFormat="1" x14ac:dyDescent="0.35">
      <c r="A98" s="13">
        <v>1003566505</v>
      </c>
      <c r="B98" s="17" t="s">
        <v>95</v>
      </c>
      <c r="C98" s="17" t="s">
        <v>83</v>
      </c>
      <c r="D98" s="17" t="s">
        <v>286</v>
      </c>
      <c r="E98" s="17">
        <v>6563</v>
      </c>
      <c r="F98" s="17" t="s">
        <v>84</v>
      </c>
      <c r="G98" s="17" t="s">
        <v>85</v>
      </c>
      <c r="H98" s="17">
        <v>1003566505</v>
      </c>
      <c r="I98" s="17" t="s">
        <v>201</v>
      </c>
      <c r="J98" s="17" t="s">
        <v>94</v>
      </c>
      <c r="K98" s="17">
        <v>0</v>
      </c>
      <c r="L98" s="17">
        <v>0</v>
      </c>
      <c r="M98" s="17" t="s">
        <v>96</v>
      </c>
      <c r="N98" s="19">
        <v>45779</v>
      </c>
      <c r="O98" s="19">
        <v>45869</v>
      </c>
      <c r="P98" s="20">
        <v>1423500</v>
      </c>
      <c r="Q98" s="17">
        <v>1</v>
      </c>
      <c r="R98" s="14">
        <f t="shared" si="17"/>
        <v>47450</v>
      </c>
      <c r="S98" s="15">
        <v>6667</v>
      </c>
      <c r="T98" s="15">
        <v>0</v>
      </c>
      <c r="U98" s="7">
        <f t="shared" si="29"/>
        <v>0</v>
      </c>
      <c r="V98" s="15">
        <v>0</v>
      </c>
      <c r="W98" s="7">
        <f t="shared" si="30"/>
        <v>0</v>
      </c>
      <c r="X98" s="15">
        <v>0</v>
      </c>
      <c r="Y98" s="7">
        <f t="shared" si="28"/>
        <v>0</v>
      </c>
      <c r="Z98" s="15">
        <v>0</v>
      </c>
      <c r="AA98" s="7">
        <f t="shared" si="31"/>
        <v>0</v>
      </c>
      <c r="AB98" s="15">
        <v>0</v>
      </c>
      <c r="AC98" s="14">
        <f t="shared" si="32"/>
        <v>0</v>
      </c>
      <c r="AD98" s="14">
        <f t="shared" si="18"/>
        <v>0</v>
      </c>
      <c r="AE98" s="14">
        <f t="shared" si="19"/>
        <v>0</v>
      </c>
      <c r="AF98" s="15">
        <v>0</v>
      </c>
      <c r="AG98" s="7">
        <f t="shared" si="33"/>
        <v>0</v>
      </c>
      <c r="AH98" s="15">
        <v>0</v>
      </c>
      <c r="AI98" s="7">
        <f t="shared" si="34"/>
        <v>0</v>
      </c>
      <c r="AJ98" s="15">
        <v>0</v>
      </c>
      <c r="AK98" s="14">
        <f t="shared" si="35"/>
        <v>0</v>
      </c>
      <c r="AL98" s="15">
        <v>0</v>
      </c>
      <c r="AM98" s="7">
        <f t="shared" si="36"/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7">
        <f t="shared" si="37"/>
        <v>0</v>
      </c>
      <c r="AT98" s="14">
        <f t="shared" si="20"/>
        <v>0</v>
      </c>
      <c r="AU98" s="14">
        <f t="shared" si="20"/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-54117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5704</v>
      </c>
      <c r="BQ98" s="15">
        <v>1200</v>
      </c>
      <c r="BR98" s="14">
        <f t="shared" si="21"/>
        <v>6904</v>
      </c>
      <c r="BS98" s="15">
        <v>100</v>
      </c>
      <c r="BT98" s="15">
        <v>0</v>
      </c>
      <c r="BU98" s="15">
        <v>0</v>
      </c>
      <c r="BV98" s="14">
        <f t="shared" si="22"/>
        <v>100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7004</v>
      </c>
      <c r="CD98" s="15">
        <v>420</v>
      </c>
      <c r="CE98" s="15">
        <v>0</v>
      </c>
      <c r="CF98" s="14">
        <f t="shared" si="23"/>
        <v>7424</v>
      </c>
      <c r="CG98" s="18"/>
      <c r="CH98" s="16"/>
      <c r="CI98" s="17"/>
      <c r="CJ98" s="17"/>
    </row>
    <row r="99" spans="1:88" s="13" customFormat="1" x14ac:dyDescent="0.35">
      <c r="A99" s="13">
        <v>1073230457</v>
      </c>
      <c r="B99" s="17" t="s">
        <v>95</v>
      </c>
      <c r="C99" s="17" t="s">
        <v>83</v>
      </c>
      <c r="D99" s="17" t="s">
        <v>286</v>
      </c>
      <c r="E99" s="17">
        <v>6563</v>
      </c>
      <c r="F99" s="17" t="s">
        <v>84</v>
      </c>
      <c r="G99" s="17" t="s">
        <v>85</v>
      </c>
      <c r="H99" s="17">
        <v>1073230457</v>
      </c>
      <c r="I99" s="17" t="s">
        <v>202</v>
      </c>
      <c r="J99" s="17" t="s">
        <v>94</v>
      </c>
      <c r="K99" s="17">
        <v>0</v>
      </c>
      <c r="L99" s="17">
        <v>0</v>
      </c>
      <c r="M99" s="17" t="s">
        <v>96</v>
      </c>
      <c r="N99" s="19">
        <v>45779</v>
      </c>
      <c r="O99" s="19">
        <v>45857</v>
      </c>
      <c r="P99" s="20">
        <v>1423500</v>
      </c>
      <c r="Q99" s="17">
        <v>-11</v>
      </c>
      <c r="R99" s="14">
        <f t="shared" si="17"/>
        <v>-521950</v>
      </c>
      <c r="S99" s="15">
        <v>-73333</v>
      </c>
      <c r="T99" s="15">
        <v>0</v>
      </c>
      <c r="U99" s="7">
        <f t="shared" si="29"/>
        <v>0</v>
      </c>
      <c r="V99" s="15">
        <v>0</v>
      </c>
      <c r="W99" s="7">
        <f t="shared" si="30"/>
        <v>0</v>
      </c>
      <c r="X99" s="15">
        <v>0</v>
      </c>
      <c r="Y99" s="7">
        <f t="shared" si="28"/>
        <v>0</v>
      </c>
      <c r="Z99" s="15">
        <v>0</v>
      </c>
      <c r="AA99" s="7">
        <f t="shared" si="31"/>
        <v>0</v>
      </c>
      <c r="AB99" s="15">
        <v>0</v>
      </c>
      <c r="AC99" s="14">
        <f t="shared" si="32"/>
        <v>0</v>
      </c>
      <c r="AD99" s="14">
        <f t="shared" si="18"/>
        <v>0</v>
      </c>
      <c r="AE99" s="14">
        <f t="shared" si="19"/>
        <v>0</v>
      </c>
      <c r="AF99" s="15">
        <v>0</v>
      </c>
      <c r="AG99" s="7">
        <f t="shared" si="33"/>
        <v>0</v>
      </c>
      <c r="AH99" s="15">
        <v>0</v>
      </c>
      <c r="AI99" s="7">
        <f t="shared" si="34"/>
        <v>0</v>
      </c>
      <c r="AJ99" s="15">
        <v>0</v>
      </c>
      <c r="AK99" s="14">
        <f t="shared" si="35"/>
        <v>0</v>
      </c>
      <c r="AL99" s="15">
        <v>0</v>
      </c>
      <c r="AM99" s="7">
        <f t="shared" si="36"/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7">
        <f t="shared" si="37"/>
        <v>0</v>
      </c>
      <c r="AT99" s="14">
        <f t="shared" si="20"/>
        <v>0</v>
      </c>
      <c r="AU99" s="14">
        <f t="shared" si="20"/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47450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-56920</v>
      </c>
      <c r="BQ99" s="15">
        <v>-11600</v>
      </c>
      <c r="BR99" s="14">
        <f t="shared" si="21"/>
        <v>-68520</v>
      </c>
      <c r="BS99" s="15">
        <v>-18900</v>
      </c>
      <c r="BT99" s="15">
        <v>0</v>
      </c>
      <c r="BU99" s="15">
        <v>0</v>
      </c>
      <c r="BV99" s="14">
        <f t="shared" si="22"/>
        <v>-18900</v>
      </c>
      <c r="BW99" s="15">
        <v>-45651</v>
      </c>
      <c r="BX99" s="15">
        <v>-5479</v>
      </c>
      <c r="BY99" s="15">
        <v>-45651</v>
      </c>
      <c r="BZ99" s="15">
        <v>-22573</v>
      </c>
      <c r="CA99" s="15">
        <v>0</v>
      </c>
      <c r="CB99" s="15">
        <v>-119354</v>
      </c>
      <c r="CC99" s="15">
        <v>-754607</v>
      </c>
      <c r="CD99" s="15">
        <v>-45276</v>
      </c>
      <c r="CE99" s="15">
        <v>0</v>
      </c>
      <c r="CF99" s="14">
        <f t="shared" si="23"/>
        <v>-799883</v>
      </c>
      <c r="CG99" s="18"/>
      <c r="CH99" s="16"/>
      <c r="CI99" s="17"/>
      <c r="CJ99" s="17"/>
    </row>
    <row r="100" spans="1:88" s="13" customFormat="1" x14ac:dyDescent="0.35">
      <c r="A100" s="13">
        <v>1007571703</v>
      </c>
      <c r="B100" s="17" t="s">
        <v>95</v>
      </c>
      <c r="C100" s="17" t="s">
        <v>83</v>
      </c>
      <c r="D100" s="17" t="s">
        <v>286</v>
      </c>
      <c r="E100" s="17">
        <v>6563</v>
      </c>
      <c r="F100" s="17" t="s">
        <v>84</v>
      </c>
      <c r="G100" s="17" t="s">
        <v>85</v>
      </c>
      <c r="H100" s="17">
        <v>1007571703</v>
      </c>
      <c r="I100" s="17" t="s">
        <v>203</v>
      </c>
      <c r="J100" s="17" t="s">
        <v>94</v>
      </c>
      <c r="K100" s="17">
        <v>0</v>
      </c>
      <c r="L100" s="17">
        <v>0</v>
      </c>
      <c r="M100" s="17" t="s">
        <v>96</v>
      </c>
      <c r="N100" s="19">
        <v>45784</v>
      </c>
      <c r="O100" s="19">
        <v>45869</v>
      </c>
      <c r="P100" s="20">
        <v>1423500</v>
      </c>
      <c r="Q100" s="17">
        <v>1</v>
      </c>
      <c r="R100" s="14">
        <f t="shared" ref="R100:R163" si="55">+P100/30*Q100</f>
        <v>47450</v>
      </c>
      <c r="S100" s="15">
        <v>6667</v>
      </c>
      <c r="T100" s="15">
        <v>2</v>
      </c>
      <c r="U100" s="7">
        <f t="shared" si="29"/>
        <v>16176.136363636362</v>
      </c>
      <c r="V100" s="15">
        <v>2.0167000000000002</v>
      </c>
      <c r="W100" s="7">
        <f t="shared" si="30"/>
        <v>22835.689943181816</v>
      </c>
      <c r="X100" s="15">
        <v>0</v>
      </c>
      <c r="Y100" s="7">
        <f t="shared" si="28"/>
        <v>0</v>
      </c>
      <c r="Z100" s="15">
        <v>0</v>
      </c>
      <c r="AA100" s="7">
        <f t="shared" si="31"/>
        <v>0</v>
      </c>
      <c r="AB100" s="15">
        <v>0</v>
      </c>
      <c r="AC100" s="14">
        <f t="shared" si="32"/>
        <v>0</v>
      </c>
      <c r="AD100" s="14">
        <f t="shared" ref="AD100:AD163" si="56">+T100+V100+X100+Z100+AB100</f>
        <v>4.0167000000000002</v>
      </c>
      <c r="AE100" s="14">
        <f t="shared" ref="AE100:AE163" si="57">+U100+W100+Y100+AA100+AC100</f>
        <v>39011.826306818177</v>
      </c>
      <c r="AF100" s="15">
        <v>21.15</v>
      </c>
      <c r="AG100" s="7">
        <f t="shared" si="33"/>
        <v>246330.20454545453</v>
      </c>
      <c r="AH100" s="15">
        <v>0</v>
      </c>
      <c r="AI100" s="7">
        <f t="shared" si="34"/>
        <v>0</v>
      </c>
      <c r="AJ100" s="15">
        <v>4</v>
      </c>
      <c r="AK100" s="14">
        <f t="shared" si="35"/>
        <v>54351.818181818184</v>
      </c>
      <c r="AL100" s="15">
        <v>0</v>
      </c>
      <c r="AM100" s="7">
        <f t="shared" si="36"/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54.083399999999997</v>
      </c>
      <c r="AS100" s="7">
        <f t="shared" si="37"/>
        <v>122480.46347727271</v>
      </c>
      <c r="AT100" s="14">
        <f t="shared" ref="AT100:AU163" si="58">+AF100+AH100+AJ100+AL100+AN100+AP100+AR100</f>
        <v>79.233399999999989</v>
      </c>
      <c r="AU100" s="14">
        <f t="shared" si="58"/>
        <v>423162.48620454542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-54117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55722</v>
      </c>
      <c r="BQ100" s="15">
        <v>11300</v>
      </c>
      <c r="BR100" s="14">
        <f t="shared" ref="BR100:BR163" si="59">+BO100+BP100+BQ100</f>
        <v>67022</v>
      </c>
      <c r="BS100" s="15">
        <v>18600</v>
      </c>
      <c r="BT100" s="15">
        <v>0</v>
      </c>
      <c r="BU100" s="15">
        <v>0</v>
      </c>
      <c r="BV100" s="14">
        <f t="shared" ref="BV100:BV163" si="60">+BS100+BT100+BU100</f>
        <v>18600</v>
      </c>
      <c r="BW100" s="15">
        <v>38621</v>
      </c>
      <c r="BX100" s="15">
        <v>4635</v>
      </c>
      <c r="BY100" s="15">
        <v>38621</v>
      </c>
      <c r="BZ100" s="15">
        <v>20115</v>
      </c>
      <c r="CA100" s="15">
        <v>0</v>
      </c>
      <c r="CB100" s="15">
        <v>101992</v>
      </c>
      <c r="CC100" s="15">
        <v>651082</v>
      </c>
      <c r="CD100" s="16">
        <v>40359.687488636351</v>
      </c>
      <c r="CE100" s="15">
        <v>0</v>
      </c>
      <c r="CF100" s="14">
        <f t="shared" ref="CF100:CF163" si="61">+CB100+BV100+BR100+BN100+BM100+BL100+BJ100+BI100+BH100+BF100++BG100+BE100+BD100+BC100+AZ100+AY100+AX100+AW100+AV100+AU100++AE100++S100+R100+CD100+BK100+CA100+CE100</f>
        <v>690148</v>
      </c>
      <c r="CG100" s="18"/>
      <c r="CH100" s="16"/>
      <c r="CI100" s="22"/>
      <c r="CJ100" s="17"/>
    </row>
    <row r="101" spans="1:88" s="13" customFormat="1" x14ac:dyDescent="0.35">
      <c r="A101" s="13">
        <v>1075251883</v>
      </c>
      <c r="B101" s="17" t="s">
        <v>95</v>
      </c>
      <c r="C101" s="17" t="s">
        <v>83</v>
      </c>
      <c r="D101" s="17" t="s">
        <v>286</v>
      </c>
      <c r="E101" s="17">
        <v>6563</v>
      </c>
      <c r="F101" s="17" t="s">
        <v>84</v>
      </c>
      <c r="G101" s="17" t="s">
        <v>85</v>
      </c>
      <c r="H101" s="17">
        <v>1075251883</v>
      </c>
      <c r="I101" s="17" t="s">
        <v>204</v>
      </c>
      <c r="J101" s="17" t="s">
        <v>94</v>
      </c>
      <c r="K101" s="17">
        <v>0</v>
      </c>
      <c r="L101" s="17">
        <v>0</v>
      </c>
      <c r="M101" s="17" t="s">
        <v>96</v>
      </c>
      <c r="N101" s="19">
        <v>45784</v>
      </c>
      <c r="O101" s="19">
        <v>45869</v>
      </c>
      <c r="P101" s="20">
        <v>1423500</v>
      </c>
      <c r="Q101" s="17">
        <v>1</v>
      </c>
      <c r="R101" s="14">
        <f t="shared" si="55"/>
        <v>47450</v>
      </c>
      <c r="S101" s="15">
        <v>0</v>
      </c>
      <c r="T101" s="15">
        <v>3</v>
      </c>
      <c r="U101" s="7">
        <f t="shared" si="29"/>
        <v>24264.204545454544</v>
      </c>
      <c r="V101" s="15">
        <v>5</v>
      </c>
      <c r="W101" s="7">
        <f t="shared" si="30"/>
        <v>56616.477272727265</v>
      </c>
      <c r="X101" s="15">
        <v>0</v>
      </c>
      <c r="Y101" s="7">
        <f t="shared" si="28"/>
        <v>0</v>
      </c>
      <c r="Z101" s="15">
        <v>0</v>
      </c>
      <c r="AA101" s="7">
        <f t="shared" si="31"/>
        <v>0</v>
      </c>
      <c r="AB101" s="15">
        <v>0</v>
      </c>
      <c r="AC101" s="14">
        <f t="shared" si="32"/>
        <v>0</v>
      </c>
      <c r="AD101" s="14">
        <f t="shared" si="56"/>
        <v>8</v>
      </c>
      <c r="AE101" s="14">
        <f t="shared" si="57"/>
        <v>80880.681818181809</v>
      </c>
      <c r="AF101" s="15">
        <v>7.25</v>
      </c>
      <c r="AG101" s="7">
        <f t="shared" si="33"/>
        <v>84439.431818181809</v>
      </c>
      <c r="AH101" s="15">
        <v>0</v>
      </c>
      <c r="AI101" s="7">
        <f t="shared" si="34"/>
        <v>0</v>
      </c>
      <c r="AJ101" s="15">
        <v>3</v>
      </c>
      <c r="AK101" s="14">
        <f t="shared" si="35"/>
        <v>40763.86363636364</v>
      </c>
      <c r="AL101" s="15">
        <v>0</v>
      </c>
      <c r="AM101" s="7">
        <f t="shared" si="36"/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55</v>
      </c>
      <c r="AS101" s="7">
        <f t="shared" si="37"/>
        <v>124556.24999999999</v>
      </c>
      <c r="AT101" s="14">
        <f t="shared" si="58"/>
        <v>65.25</v>
      </c>
      <c r="AU101" s="14">
        <f t="shared" si="58"/>
        <v>249759.54545454541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-54117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43178</v>
      </c>
      <c r="BQ101" s="15">
        <v>7000</v>
      </c>
      <c r="BR101" s="14">
        <f t="shared" si="59"/>
        <v>50178</v>
      </c>
      <c r="BS101" s="15">
        <v>13300</v>
      </c>
      <c r="BT101" s="15">
        <v>0</v>
      </c>
      <c r="BU101" s="15">
        <v>0</v>
      </c>
      <c r="BV101" s="14">
        <f t="shared" si="60"/>
        <v>13300</v>
      </c>
      <c r="BW101" s="15">
        <v>27077</v>
      </c>
      <c r="BX101" s="15">
        <v>3249</v>
      </c>
      <c r="BY101" s="15">
        <v>27077</v>
      </c>
      <c r="BZ101" s="15">
        <v>14392</v>
      </c>
      <c r="CA101" s="15">
        <v>0</v>
      </c>
      <c r="CB101" s="15">
        <v>71795</v>
      </c>
      <c r="CC101" s="15">
        <v>460215</v>
      </c>
      <c r="CD101" s="15">
        <v>28582</v>
      </c>
      <c r="CE101" s="15">
        <v>0</v>
      </c>
      <c r="CF101" s="14">
        <f t="shared" si="61"/>
        <v>487828.22727272724</v>
      </c>
      <c r="CG101" s="18"/>
      <c r="CH101" s="16"/>
      <c r="CI101" s="17"/>
      <c r="CJ101" s="17"/>
    </row>
    <row r="102" spans="1:88" s="13" customFormat="1" x14ac:dyDescent="0.35">
      <c r="A102" s="13">
        <v>1000728088</v>
      </c>
      <c r="B102" s="17" t="s">
        <v>95</v>
      </c>
      <c r="C102" s="17" t="s">
        <v>83</v>
      </c>
      <c r="D102" s="17" t="s">
        <v>286</v>
      </c>
      <c r="E102" s="17">
        <v>6571</v>
      </c>
      <c r="F102" s="17" t="s">
        <v>88</v>
      </c>
      <c r="G102" s="17" t="s">
        <v>89</v>
      </c>
      <c r="H102" s="17">
        <v>1000728088</v>
      </c>
      <c r="I102" s="17" t="s">
        <v>205</v>
      </c>
      <c r="J102" s="17" t="s">
        <v>94</v>
      </c>
      <c r="K102" s="17">
        <v>0</v>
      </c>
      <c r="L102" s="17">
        <v>0</v>
      </c>
      <c r="M102" s="17" t="s">
        <v>96</v>
      </c>
      <c r="N102" s="19">
        <v>45784</v>
      </c>
      <c r="O102" s="19">
        <v>1</v>
      </c>
      <c r="P102" s="20">
        <v>1423500</v>
      </c>
      <c r="Q102" s="17">
        <v>28</v>
      </c>
      <c r="R102" s="14">
        <f t="shared" si="55"/>
        <v>1328600</v>
      </c>
      <c r="S102" s="15">
        <v>186667</v>
      </c>
      <c r="T102" s="15">
        <v>0</v>
      </c>
      <c r="U102" s="7">
        <f t="shared" si="29"/>
        <v>0</v>
      </c>
      <c r="V102" s="15">
        <v>1.95</v>
      </c>
      <c r="W102" s="7">
        <f t="shared" si="30"/>
        <v>22080.426136363632</v>
      </c>
      <c r="X102" s="15">
        <v>0</v>
      </c>
      <c r="Y102" s="7">
        <f t="shared" si="28"/>
        <v>0</v>
      </c>
      <c r="Z102" s="15">
        <v>0</v>
      </c>
      <c r="AA102" s="7">
        <f t="shared" si="31"/>
        <v>0</v>
      </c>
      <c r="AB102" s="15">
        <v>0</v>
      </c>
      <c r="AC102" s="14">
        <f t="shared" si="32"/>
        <v>0</v>
      </c>
      <c r="AD102" s="14">
        <f t="shared" si="56"/>
        <v>1.95</v>
      </c>
      <c r="AE102" s="14">
        <f t="shared" si="57"/>
        <v>22080.426136363632</v>
      </c>
      <c r="AF102" s="15">
        <v>0</v>
      </c>
      <c r="AG102" s="7">
        <f t="shared" si="33"/>
        <v>0</v>
      </c>
      <c r="AH102" s="15">
        <v>0</v>
      </c>
      <c r="AI102" s="7">
        <f t="shared" si="34"/>
        <v>0</v>
      </c>
      <c r="AJ102" s="15">
        <v>0</v>
      </c>
      <c r="AK102" s="14">
        <f t="shared" si="35"/>
        <v>0</v>
      </c>
      <c r="AL102" s="15">
        <v>0</v>
      </c>
      <c r="AM102" s="7">
        <f t="shared" si="36"/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63.77</v>
      </c>
      <c r="AS102" s="7">
        <f t="shared" si="37"/>
        <v>144417.31022727271</v>
      </c>
      <c r="AT102" s="14">
        <f t="shared" si="58"/>
        <v>63.77</v>
      </c>
      <c r="AU102" s="14">
        <f t="shared" si="58"/>
        <v>144417.31022727271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70000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205696</v>
      </c>
      <c r="BQ102" s="15">
        <v>38200</v>
      </c>
      <c r="BR102" s="14">
        <f t="shared" si="59"/>
        <v>243896</v>
      </c>
      <c r="BS102" s="15">
        <v>62700</v>
      </c>
      <c r="BT102" s="15">
        <v>0</v>
      </c>
      <c r="BU102" s="15">
        <v>0</v>
      </c>
      <c r="BV102" s="14">
        <f t="shared" si="60"/>
        <v>62700</v>
      </c>
      <c r="BW102" s="15">
        <v>145974</v>
      </c>
      <c r="BX102" s="15">
        <v>17518</v>
      </c>
      <c r="BY102" s="15">
        <v>145974</v>
      </c>
      <c r="BZ102" s="15">
        <v>67926</v>
      </c>
      <c r="CA102" s="15">
        <v>0</v>
      </c>
      <c r="CB102" s="15">
        <v>377392</v>
      </c>
      <c r="CC102" s="15">
        <v>2435752</v>
      </c>
      <c r="CD102" s="15">
        <v>146144</v>
      </c>
      <c r="CE102" s="15">
        <v>0</v>
      </c>
      <c r="CF102" s="14">
        <f t="shared" si="61"/>
        <v>2581896.7363636363</v>
      </c>
      <c r="CG102" s="18"/>
      <c r="CH102" s="16"/>
      <c r="CI102" s="17"/>
      <c r="CJ102" s="17"/>
    </row>
    <row r="103" spans="1:88" s="13" customFormat="1" x14ac:dyDescent="0.35">
      <c r="A103" s="13">
        <v>1082414964</v>
      </c>
      <c r="B103" s="17" t="s">
        <v>95</v>
      </c>
      <c r="C103" s="17" t="s">
        <v>83</v>
      </c>
      <c r="D103" s="17" t="s">
        <v>286</v>
      </c>
      <c r="E103" s="17">
        <v>6563</v>
      </c>
      <c r="F103" s="17" t="s">
        <v>84</v>
      </c>
      <c r="G103" s="17" t="s">
        <v>85</v>
      </c>
      <c r="H103" s="17">
        <v>1082414964</v>
      </c>
      <c r="I103" s="17" t="s">
        <v>206</v>
      </c>
      <c r="J103" s="17" t="s">
        <v>94</v>
      </c>
      <c r="K103" s="17">
        <v>0</v>
      </c>
      <c r="L103" s="17">
        <v>0</v>
      </c>
      <c r="M103" s="17" t="s">
        <v>96</v>
      </c>
      <c r="N103" s="19">
        <v>45784</v>
      </c>
      <c r="O103" s="19">
        <v>1</v>
      </c>
      <c r="P103" s="20">
        <v>1423500</v>
      </c>
      <c r="Q103" s="17">
        <v>30</v>
      </c>
      <c r="R103" s="14">
        <f t="shared" si="55"/>
        <v>1423500</v>
      </c>
      <c r="S103" s="15">
        <v>193333</v>
      </c>
      <c r="T103" s="15">
        <v>7.5</v>
      </c>
      <c r="U103" s="7">
        <f t="shared" si="29"/>
        <v>60660.51136363636</v>
      </c>
      <c r="V103" s="15">
        <v>3.98</v>
      </c>
      <c r="W103" s="7">
        <f t="shared" si="30"/>
        <v>45066.715909090904</v>
      </c>
      <c r="X103" s="15">
        <v>0</v>
      </c>
      <c r="Y103" s="7">
        <f t="shared" si="28"/>
        <v>0</v>
      </c>
      <c r="Z103" s="15">
        <v>0</v>
      </c>
      <c r="AA103" s="7">
        <f t="shared" si="31"/>
        <v>0</v>
      </c>
      <c r="AB103" s="15">
        <v>0</v>
      </c>
      <c r="AC103" s="14">
        <f t="shared" si="32"/>
        <v>0</v>
      </c>
      <c r="AD103" s="14">
        <f t="shared" si="56"/>
        <v>11.48</v>
      </c>
      <c r="AE103" s="14">
        <f t="shared" si="57"/>
        <v>105727.22727272726</v>
      </c>
      <c r="AF103" s="15">
        <v>1</v>
      </c>
      <c r="AG103" s="7">
        <f t="shared" si="33"/>
        <v>11646.818181818182</v>
      </c>
      <c r="AH103" s="15">
        <v>0</v>
      </c>
      <c r="AI103" s="7">
        <f t="shared" si="34"/>
        <v>0</v>
      </c>
      <c r="AJ103" s="15">
        <v>5</v>
      </c>
      <c r="AK103" s="14">
        <f t="shared" si="35"/>
        <v>67939.772727272721</v>
      </c>
      <c r="AL103" s="15">
        <v>0</v>
      </c>
      <c r="AM103" s="7">
        <f t="shared" si="36"/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76.48</v>
      </c>
      <c r="AS103" s="7">
        <f t="shared" si="37"/>
        <v>173201.12727272726</v>
      </c>
      <c r="AT103" s="14">
        <f t="shared" si="58"/>
        <v>82.48</v>
      </c>
      <c r="AU103" s="14">
        <f t="shared" si="58"/>
        <v>252787.71818181814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216625</v>
      </c>
      <c r="BQ103" s="15">
        <v>42300</v>
      </c>
      <c r="BR103" s="14">
        <f t="shared" si="59"/>
        <v>258925</v>
      </c>
      <c r="BS103" s="15">
        <v>71400</v>
      </c>
      <c r="BT103" s="15">
        <v>0</v>
      </c>
      <c r="BU103" s="15">
        <v>0</v>
      </c>
      <c r="BV103" s="14">
        <f t="shared" si="60"/>
        <v>71400</v>
      </c>
      <c r="BW103" s="15">
        <v>164741</v>
      </c>
      <c r="BX103" s="15">
        <v>19770</v>
      </c>
      <c r="BY103" s="15">
        <v>164741</v>
      </c>
      <c r="BZ103" s="15">
        <v>77409</v>
      </c>
      <c r="CA103" s="15">
        <v>0</v>
      </c>
      <c r="CB103" s="15">
        <v>426661</v>
      </c>
      <c r="CC103" s="15">
        <v>2733952</v>
      </c>
      <c r="CD103" s="16">
        <v>165657.05454545468</v>
      </c>
      <c r="CE103" s="15">
        <v>0</v>
      </c>
      <c r="CF103" s="14">
        <f t="shared" si="61"/>
        <v>2897991</v>
      </c>
      <c r="CG103" s="18"/>
      <c r="CH103" s="16"/>
      <c r="CI103" s="22"/>
      <c r="CJ103" s="17"/>
    </row>
    <row r="104" spans="1:88" s="13" customFormat="1" x14ac:dyDescent="0.35">
      <c r="A104" s="13">
        <v>1143937180</v>
      </c>
      <c r="B104" s="17" t="s">
        <v>95</v>
      </c>
      <c r="C104" s="17" t="s">
        <v>83</v>
      </c>
      <c r="D104" s="17" t="s">
        <v>286</v>
      </c>
      <c r="E104" s="17">
        <v>1980</v>
      </c>
      <c r="F104" s="17" t="s">
        <v>92</v>
      </c>
      <c r="G104" s="17" t="s">
        <v>93</v>
      </c>
      <c r="H104" s="17">
        <v>1143937180</v>
      </c>
      <c r="I104" s="17" t="s">
        <v>207</v>
      </c>
      <c r="J104" s="17" t="s">
        <v>94</v>
      </c>
      <c r="K104" s="17">
        <v>0</v>
      </c>
      <c r="L104" s="17">
        <v>0</v>
      </c>
      <c r="M104" s="17" t="s">
        <v>96</v>
      </c>
      <c r="N104" s="19">
        <v>45784</v>
      </c>
      <c r="O104" s="19">
        <v>45873</v>
      </c>
      <c r="P104" s="20">
        <v>1423500</v>
      </c>
      <c r="Q104" s="17">
        <v>4</v>
      </c>
      <c r="R104" s="14">
        <f t="shared" si="55"/>
        <v>189800</v>
      </c>
      <c r="S104" s="15">
        <v>26667</v>
      </c>
      <c r="T104" s="15">
        <v>1.6667000000000001</v>
      </c>
      <c r="U104" s="7">
        <f t="shared" si="29"/>
        <v>13480.383238636365</v>
      </c>
      <c r="V104" s="15">
        <v>0</v>
      </c>
      <c r="W104" s="7">
        <f t="shared" si="30"/>
        <v>0</v>
      </c>
      <c r="X104" s="15">
        <v>0</v>
      </c>
      <c r="Y104" s="7">
        <f t="shared" si="28"/>
        <v>0</v>
      </c>
      <c r="Z104" s="15">
        <v>0</v>
      </c>
      <c r="AA104" s="7">
        <f t="shared" si="31"/>
        <v>0</v>
      </c>
      <c r="AB104" s="15">
        <v>0</v>
      </c>
      <c r="AC104" s="14">
        <f t="shared" si="32"/>
        <v>0</v>
      </c>
      <c r="AD104" s="14">
        <f t="shared" si="56"/>
        <v>1.6667000000000001</v>
      </c>
      <c r="AE104" s="14">
        <f t="shared" si="57"/>
        <v>13480.383238636365</v>
      </c>
      <c r="AF104" s="15">
        <v>0</v>
      </c>
      <c r="AG104" s="7">
        <f t="shared" si="33"/>
        <v>0</v>
      </c>
      <c r="AH104" s="15">
        <v>0</v>
      </c>
      <c r="AI104" s="7">
        <f t="shared" si="34"/>
        <v>0</v>
      </c>
      <c r="AJ104" s="15">
        <v>0</v>
      </c>
      <c r="AK104" s="14">
        <f t="shared" si="35"/>
        <v>0</v>
      </c>
      <c r="AL104" s="15">
        <v>0</v>
      </c>
      <c r="AM104" s="7">
        <f t="shared" si="36"/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35.433399999999999</v>
      </c>
      <c r="AS104" s="7">
        <f t="shared" si="37"/>
        <v>80244.571431818171</v>
      </c>
      <c r="AT104" s="14">
        <f t="shared" si="58"/>
        <v>35.433399999999999</v>
      </c>
      <c r="AU104" s="14">
        <f t="shared" si="58"/>
        <v>80244.571431818171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216743</v>
      </c>
      <c r="BD104" s="15">
        <v>0</v>
      </c>
      <c r="BE104" s="15">
        <v>273520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55758</v>
      </c>
      <c r="BQ104" s="15">
        <v>11400</v>
      </c>
      <c r="BR104" s="14">
        <f t="shared" si="59"/>
        <v>67158</v>
      </c>
      <c r="BS104" s="15">
        <v>11400</v>
      </c>
      <c r="BT104" s="15">
        <v>0</v>
      </c>
      <c r="BU104" s="15">
        <v>0</v>
      </c>
      <c r="BV104" s="14">
        <f t="shared" si="60"/>
        <v>11400</v>
      </c>
      <c r="BW104" s="15">
        <v>25848</v>
      </c>
      <c r="BX104" s="15">
        <v>3102</v>
      </c>
      <c r="BY104" s="15">
        <v>25848</v>
      </c>
      <c r="BZ104" s="15">
        <v>12305</v>
      </c>
      <c r="CA104" s="15">
        <v>0</v>
      </c>
      <c r="CB104" s="15">
        <v>67103</v>
      </c>
      <c r="CC104" s="15">
        <v>946116</v>
      </c>
      <c r="CD104" s="15">
        <v>56766</v>
      </c>
      <c r="CE104" s="15">
        <v>0</v>
      </c>
      <c r="CF104" s="14">
        <f t="shared" si="61"/>
        <v>1002881.9546704546</v>
      </c>
      <c r="CG104" s="18"/>
      <c r="CH104" s="16"/>
      <c r="CI104" s="17"/>
      <c r="CJ104" s="17"/>
    </row>
    <row r="105" spans="1:88" s="13" customFormat="1" x14ac:dyDescent="0.35">
      <c r="A105" s="13">
        <v>80797305</v>
      </c>
      <c r="B105" s="17" t="s">
        <v>95</v>
      </c>
      <c r="C105" s="17" t="s">
        <v>83</v>
      </c>
      <c r="D105" s="17" t="s">
        <v>286</v>
      </c>
      <c r="E105" s="17">
        <v>6571</v>
      </c>
      <c r="F105" s="17" t="s">
        <v>88</v>
      </c>
      <c r="G105" s="17" t="s">
        <v>89</v>
      </c>
      <c r="H105" s="17">
        <v>80797305</v>
      </c>
      <c r="I105" s="17" t="s">
        <v>208</v>
      </c>
      <c r="J105" s="17" t="s">
        <v>94</v>
      </c>
      <c r="K105" s="17">
        <v>0</v>
      </c>
      <c r="L105" s="17">
        <v>0</v>
      </c>
      <c r="M105" s="17" t="s">
        <v>96</v>
      </c>
      <c r="N105" s="19">
        <v>45784</v>
      </c>
      <c r="O105" s="19">
        <v>1</v>
      </c>
      <c r="P105" s="20">
        <v>1423500</v>
      </c>
      <c r="Q105" s="17">
        <v>30</v>
      </c>
      <c r="R105" s="14">
        <f t="shared" si="55"/>
        <v>1423500</v>
      </c>
      <c r="S105" s="15">
        <v>200000</v>
      </c>
      <c r="T105" s="15">
        <v>0</v>
      </c>
      <c r="U105" s="7">
        <f t="shared" si="29"/>
        <v>0</v>
      </c>
      <c r="V105" s="15">
        <v>5.5</v>
      </c>
      <c r="W105" s="7">
        <f t="shared" si="30"/>
        <v>62278.125</v>
      </c>
      <c r="X105" s="15">
        <v>0</v>
      </c>
      <c r="Y105" s="7">
        <f t="shared" si="28"/>
        <v>0</v>
      </c>
      <c r="Z105" s="15">
        <v>0</v>
      </c>
      <c r="AA105" s="7">
        <f t="shared" si="31"/>
        <v>0</v>
      </c>
      <c r="AB105" s="15">
        <v>0</v>
      </c>
      <c r="AC105" s="14">
        <f t="shared" si="32"/>
        <v>0</v>
      </c>
      <c r="AD105" s="14">
        <f t="shared" si="56"/>
        <v>5.5</v>
      </c>
      <c r="AE105" s="14">
        <f t="shared" si="57"/>
        <v>62278.125</v>
      </c>
      <c r="AF105" s="15">
        <v>0</v>
      </c>
      <c r="AG105" s="7">
        <f t="shared" si="33"/>
        <v>0</v>
      </c>
      <c r="AH105" s="15">
        <v>0</v>
      </c>
      <c r="AI105" s="7">
        <f t="shared" si="34"/>
        <v>0</v>
      </c>
      <c r="AJ105" s="15">
        <v>0</v>
      </c>
      <c r="AK105" s="14">
        <f t="shared" si="35"/>
        <v>0</v>
      </c>
      <c r="AL105" s="15">
        <v>0</v>
      </c>
      <c r="AM105" s="7">
        <f t="shared" si="36"/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61.08</v>
      </c>
      <c r="AS105" s="7">
        <f t="shared" si="37"/>
        <v>138325.37727272726</v>
      </c>
      <c r="AT105" s="14">
        <f t="shared" si="58"/>
        <v>61.08</v>
      </c>
      <c r="AU105" s="14">
        <f t="shared" si="58"/>
        <v>138325.37727272726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110000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208136</v>
      </c>
      <c r="BQ105" s="15">
        <v>42300</v>
      </c>
      <c r="BR105" s="14">
        <f t="shared" si="59"/>
        <v>250436</v>
      </c>
      <c r="BS105" s="15">
        <v>69400</v>
      </c>
      <c r="BT105" s="15">
        <v>0</v>
      </c>
      <c r="BU105" s="15">
        <v>0</v>
      </c>
      <c r="BV105" s="14">
        <f t="shared" si="60"/>
        <v>69400</v>
      </c>
      <c r="BW105" s="15">
        <v>161169</v>
      </c>
      <c r="BX105" s="15">
        <v>19341</v>
      </c>
      <c r="BY105" s="15">
        <v>161169</v>
      </c>
      <c r="BZ105" s="15">
        <v>75260</v>
      </c>
      <c r="CA105" s="15">
        <v>0</v>
      </c>
      <c r="CB105" s="15">
        <v>416939</v>
      </c>
      <c r="CC105" s="15">
        <v>2670878</v>
      </c>
      <c r="CD105" s="15">
        <v>160255</v>
      </c>
      <c r="CE105" s="15">
        <v>0</v>
      </c>
      <c r="CF105" s="14">
        <f t="shared" si="61"/>
        <v>2831133.502272727</v>
      </c>
      <c r="CG105" s="18"/>
      <c r="CH105" s="16"/>
      <c r="CI105" s="17"/>
      <c r="CJ105" s="15"/>
    </row>
    <row r="106" spans="1:88" s="13" customFormat="1" x14ac:dyDescent="0.35">
      <c r="A106" s="13">
        <v>52664129</v>
      </c>
      <c r="B106" s="17" t="s">
        <v>95</v>
      </c>
      <c r="C106" s="17" t="s">
        <v>83</v>
      </c>
      <c r="D106" s="17" t="s">
        <v>286</v>
      </c>
      <c r="E106" s="17">
        <v>6563</v>
      </c>
      <c r="F106" s="17" t="s">
        <v>84</v>
      </c>
      <c r="G106" s="17" t="s">
        <v>85</v>
      </c>
      <c r="H106" s="17">
        <v>52664129</v>
      </c>
      <c r="I106" s="17" t="s">
        <v>209</v>
      </c>
      <c r="J106" s="17" t="s">
        <v>94</v>
      </c>
      <c r="K106" s="17">
        <v>0</v>
      </c>
      <c r="L106" s="17">
        <v>0</v>
      </c>
      <c r="M106" s="17" t="s">
        <v>96</v>
      </c>
      <c r="N106" s="19">
        <v>45784</v>
      </c>
      <c r="O106" s="19">
        <v>45854</v>
      </c>
      <c r="P106" s="20">
        <v>1423500</v>
      </c>
      <c r="Q106" s="17">
        <v>0</v>
      </c>
      <c r="R106" s="14">
        <f t="shared" si="55"/>
        <v>0</v>
      </c>
      <c r="S106" s="15">
        <v>0</v>
      </c>
      <c r="T106" s="15">
        <v>0</v>
      </c>
      <c r="U106" s="7">
        <f t="shared" si="29"/>
        <v>0</v>
      </c>
      <c r="V106" s="15">
        <v>6</v>
      </c>
      <c r="W106" s="7">
        <f t="shared" si="30"/>
        <v>67939.772727272721</v>
      </c>
      <c r="X106" s="15">
        <v>0</v>
      </c>
      <c r="Y106" s="7">
        <f t="shared" si="28"/>
        <v>0</v>
      </c>
      <c r="Z106" s="15">
        <v>0</v>
      </c>
      <c r="AA106" s="7">
        <f t="shared" si="31"/>
        <v>0</v>
      </c>
      <c r="AB106" s="15">
        <v>0</v>
      </c>
      <c r="AC106" s="14">
        <f t="shared" si="32"/>
        <v>0</v>
      </c>
      <c r="AD106" s="14">
        <f t="shared" si="56"/>
        <v>6</v>
      </c>
      <c r="AE106" s="14">
        <f t="shared" si="57"/>
        <v>67939.772727272721</v>
      </c>
      <c r="AF106" s="15">
        <v>8</v>
      </c>
      <c r="AG106" s="7">
        <f t="shared" si="33"/>
        <v>93174.545454545456</v>
      </c>
      <c r="AH106" s="15">
        <v>0</v>
      </c>
      <c r="AI106" s="7">
        <f t="shared" si="34"/>
        <v>0</v>
      </c>
      <c r="AJ106" s="15">
        <v>4</v>
      </c>
      <c r="AK106" s="14">
        <f t="shared" si="35"/>
        <v>54351.818181818184</v>
      </c>
      <c r="AL106" s="15">
        <v>0</v>
      </c>
      <c r="AM106" s="7">
        <f t="shared" si="36"/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90.97</v>
      </c>
      <c r="AS106" s="7">
        <f t="shared" si="37"/>
        <v>206016.03749999998</v>
      </c>
      <c r="AT106" s="14">
        <f t="shared" si="58"/>
        <v>102.97</v>
      </c>
      <c r="AU106" s="14">
        <f t="shared" si="58"/>
        <v>353542.40113636362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50789</v>
      </c>
      <c r="BQ106" s="15">
        <v>10300</v>
      </c>
      <c r="BR106" s="14">
        <f t="shared" si="59"/>
        <v>61089</v>
      </c>
      <c r="BS106" s="15">
        <v>16800</v>
      </c>
      <c r="BT106" s="15">
        <v>0</v>
      </c>
      <c r="BU106" s="15">
        <v>0</v>
      </c>
      <c r="BV106" s="14">
        <f t="shared" si="60"/>
        <v>16800</v>
      </c>
      <c r="BW106" s="15">
        <v>35230</v>
      </c>
      <c r="BX106" s="15">
        <v>4227</v>
      </c>
      <c r="BY106" s="15">
        <v>35230</v>
      </c>
      <c r="BZ106" s="15">
        <v>18347</v>
      </c>
      <c r="CA106" s="15">
        <v>0</v>
      </c>
      <c r="CB106" s="15">
        <v>93034</v>
      </c>
      <c r="CC106" s="15">
        <v>593700</v>
      </c>
      <c r="CD106" s="16">
        <v>36917.82613636367</v>
      </c>
      <c r="CE106" s="15">
        <v>0</v>
      </c>
      <c r="CF106" s="14">
        <f t="shared" si="61"/>
        <v>629323</v>
      </c>
      <c r="CG106" s="18"/>
      <c r="CH106" s="16"/>
      <c r="CI106" s="22"/>
      <c r="CJ106" s="17"/>
    </row>
    <row r="107" spans="1:88" s="13" customFormat="1" x14ac:dyDescent="0.35">
      <c r="A107" s="13">
        <v>1032380666</v>
      </c>
      <c r="B107" s="17" t="s">
        <v>95</v>
      </c>
      <c r="C107" s="17" t="s">
        <v>83</v>
      </c>
      <c r="D107" s="17" t="s">
        <v>286</v>
      </c>
      <c r="E107" s="17">
        <v>6563</v>
      </c>
      <c r="F107" s="17" t="s">
        <v>84</v>
      </c>
      <c r="G107" s="17" t="s">
        <v>85</v>
      </c>
      <c r="H107" s="17">
        <v>1032380666</v>
      </c>
      <c r="I107" s="17" t="s">
        <v>210</v>
      </c>
      <c r="J107" s="17" t="s">
        <v>94</v>
      </c>
      <c r="K107" s="17">
        <v>0</v>
      </c>
      <c r="L107" s="17">
        <v>0</v>
      </c>
      <c r="M107" s="17" t="s">
        <v>96</v>
      </c>
      <c r="N107" s="19">
        <v>45784</v>
      </c>
      <c r="O107" s="19">
        <v>45869</v>
      </c>
      <c r="P107" s="20">
        <v>1423500</v>
      </c>
      <c r="Q107" s="17">
        <v>1</v>
      </c>
      <c r="R107" s="14">
        <f t="shared" si="55"/>
        <v>47450</v>
      </c>
      <c r="S107" s="15">
        <v>6667</v>
      </c>
      <c r="T107" s="15">
        <v>2</v>
      </c>
      <c r="U107" s="7">
        <f t="shared" si="29"/>
        <v>16176.136363636362</v>
      </c>
      <c r="V107" s="15">
        <v>4.0167000000000002</v>
      </c>
      <c r="W107" s="7">
        <f t="shared" si="30"/>
        <v>45482.280852272728</v>
      </c>
      <c r="X107" s="15">
        <v>0</v>
      </c>
      <c r="Y107" s="7">
        <f t="shared" si="28"/>
        <v>0</v>
      </c>
      <c r="Z107" s="15">
        <v>0</v>
      </c>
      <c r="AA107" s="7">
        <f t="shared" si="31"/>
        <v>0</v>
      </c>
      <c r="AB107" s="15">
        <v>0</v>
      </c>
      <c r="AC107" s="14">
        <f t="shared" si="32"/>
        <v>0</v>
      </c>
      <c r="AD107" s="14">
        <f t="shared" si="56"/>
        <v>6.0167000000000002</v>
      </c>
      <c r="AE107" s="14">
        <f t="shared" si="57"/>
        <v>61658.417215909089</v>
      </c>
      <c r="AF107" s="15">
        <v>14.066700000000001</v>
      </c>
      <c r="AG107" s="7">
        <f t="shared" si="33"/>
        <v>163832.29731818181</v>
      </c>
      <c r="AH107" s="15">
        <v>0</v>
      </c>
      <c r="AI107" s="7">
        <f t="shared" si="34"/>
        <v>0</v>
      </c>
      <c r="AJ107" s="15">
        <v>4</v>
      </c>
      <c r="AK107" s="14">
        <f t="shared" si="35"/>
        <v>54351.818181818184</v>
      </c>
      <c r="AL107" s="15">
        <v>0</v>
      </c>
      <c r="AM107" s="7">
        <f t="shared" si="36"/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57</v>
      </c>
      <c r="AS107" s="7">
        <f t="shared" si="37"/>
        <v>129085.56818181816</v>
      </c>
      <c r="AT107" s="14">
        <f t="shared" si="58"/>
        <v>75.066699999999997</v>
      </c>
      <c r="AU107" s="14">
        <f t="shared" si="58"/>
        <v>347269.68368181813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-54117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49382</v>
      </c>
      <c r="BQ107" s="15">
        <v>10000</v>
      </c>
      <c r="BR107" s="14">
        <f t="shared" si="59"/>
        <v>59382</v>
      </c>
      <c r="BS107" s="15">
        <v>16500</v>
      </c>
      <c r="BT107" s="15">
        <v>0</v>
      </c>
      <c r="BU107" s="15">
        <v>0</v>
      </c>
      <c r="BV107" s="14">
        <f t="shared" si="60"/>
        <v>16500</v>
      </c>
      <c r="BW107" s="15">
        <v>34184</v>
      </c>
      <c r="BX107" s="15">
        <v>4102</v>
      </c>
      <c r="BY107" s="15">
        <v>34184</v>
      </c>
      <c r="BZ107" s="15">
        <v>17803</v>
      </c>
      <c r="CA107" s="15">
        <v>0</v>
      </c>
      <c r="CB107" s="15">
        <v>90273</v>
      </c>
      <c r="CC107" s="15">
        <v>576377</v>
      </c>
      <c r="CD107" s="16">
        <v>35875.899102272699</v>
      </c>
      <c r="CE107" s="15">
        <v>0</v>
      </c>
      <c r="CF107" s="14">
        <f t="shared" si="61"/>
        <v>610959</v>
      </c>
      <c r="CG107" s="18"/>
      <c r="CH107" s="16"/>
      <c r="CI107" s="22"/>
      <c r="CJ107" s="17"/>
    </row>
    <row r="108" spans="1:88" s="13" customFormat="1" x14ac:dyDescent="0.35">
      <c r="A108" s="13">
        <v>1002527350</v>
      </c>
      <c r="B108" s="17" t="s">
        <v>95</v>
      </c>
      <c r="C108" s="17" t="s">
        <v>83</v>
      </c>
      <c r="D108" s="17" t="s">
        <v>286</v>
      </c>
      <c r="E108" s="17">
        <v>5359</v>
      </c>
      <c r="F108" s="17" t="s">
        <v>190</v>
      </c>
      <c r="G108" s="17" t="s">
        <v>191</v>
      </c>
      <c r="H108" s="17">
        <v>1002527350</v>
      </c>
      <c r="I108" s="17" t="s">
        <v>212</v>
      </c>
      <c r="J108" s="17" t="s">
        <v>94</v>
      </c>
      <c r="K108" s="17">
        <v>0</v>
      </c>
      <c r="L108" s="17">
        <v>0</v>
      </c>
      <c r="M108" s="17" t="s">
        <v>96</v>
      </c>
      <c r="N108" s="19">
        <v>45799</v>
      </c>
      <c r="O108" s="19">
        <v>45841</v>
      </c>
      <c r="P108" s="20">
        <v>782925</v>
      </c>
      <c r="Q108" s="17">
        <v>0</v>
      </c>
      <c r="R108" s="14">
        <f t="shared" si="55"/>
        <v>0</v>
      </c>
      <c r="S108" s="15">
        <v>0</v>
      </c>
      <c r="T108" s="15">
        <v>2.75</v>
      </c>
      <c r="U108" s="7">
        <f>+P108/115*T108*1.25</f>
        <v>23402.64945652174</v>
      </c>
      <c r="V108" s="15">
        <v>0</v>
      </c>
      <c r="W108" s="7">
        <f>+P108/110*V108*1.75</f>
        <v>0</v>
      </c>
      <c r="X108" s="15">
        <v>0</v>
      </c>
      <c r="Y108" s="7">
        <f t="shared" si="28"/>
        <v>0</v>
      </c>
      <c r="Z108" s="15">
        <v>0</v>
      </c>
      <c r="AA108" s="7">
        <f t="shared" si="31"/>
        <v>0</v>
      </c>
      <c r="AB108" s="15">
        <v>0</v>
      </c>
      <c r="AC108" s="14">
        <f t="shared" si="32"/>
        <v>0</v>
      </c>
      <c r="AD108" s="14">
        <f t="shared" si="56"/>
        <v>2.75</v>
      </c>
      <c r="AE108" s="14">
        <f t="shared" si="57"/>
        <v>23402.64945652174</v>
      </c>
      <c r="AF108" s="15">
        <v>0</v>
      </c>
      <c r="AG108" s="7">
        <f>+P108/110*AF108*1.8</f>
        <v>0</v>
      </c>
      <c r="AH108" s="15">
        <v>0</v>
      </c>
      <c r="AI108" s="7">
        <f t="shared" si="34"/>
        <v>0</v>
      </c>
      <c r="AJ108" s="15">
        <v>0</v>
      </c>
      <c r="AK108" s="14">
        <f t="shared" si="35"/>
        <v>0</v>
      </c>
      <c r="AL108" s="15">
        <v>0</v>
      </c>
      <c r="AM108" s="7">
        <f t="shared" si="36"/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32.85</v>
      </c>
      <c r="AS108" s="7">
        <f>+P108/115*AR108*0.35</f>
        <v>78275.479891304349</v>
      </c>
      <c r="AT108" s="14">
        <f t="shared" si="58"/>
        <v>32.85</v>
      </c>
      <c r="AU108" s="14">
        <f t="shared" si="58"/>
        <v>78275.479891304349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214575</v>
      </c>
      <c r="BD108" s="15">
        <v>0</v>
      </c>
      <c r="BE108" s="15">
        <v>217246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27022</v>
      </c>
      <c r="BQ108" s="15">
        <v>5500</v>
      </c>
      <c r="BR108" s="14">
        <f t="shared" si="59"/>
        <v>32522</v>
      </c>
      <c r="BS108" s="15">
        <v>4000</v>
      </c>
      <c r="BT108" s="15">
        <v>0</v>
      </c>
      <c r="BU108" s="15">
        <v>0</v>
      </c>
      <c r="BV108" s="14">
        <f t="shared" si="60"/>
        <v>4000</v>
      </c>
      <c r="BW108" s="15">
        <v>8473</v>
      </c>
      <c r="BX108" s="15">
        <v>1017</v>
      </c>
      <c r="BY108" s="15">
        <v>8473</v>
      </c>
      <c r="BZ108" s="15">
        <v>4413</v>
      </c>
      <c r="CA108" s="15">
        <v>0</v>
      </c>
      <c r="CB108" s="15">
        <v>22376</v>
      </c>
      <c r="CC108" s="15">
        <v>592397</v>
      </c>
      <c r="CD108" s="15">
        <v>35544</v>
      </c>
      <c r="CE108" s="15">
        <v>0</v>
      </c>
      <c r="CF108" s="14">
        <f t="shared" si="61"/>
        <v>627941.12934782612</v>
      </c>
      <c r="CG108" s="18"/>
      <c r="CH108" s="16"/>
      <c r="CI108" s="17"/>
      <c r="CJ108" s="17"/>
    </row>
    <row r="109" spans="1:88" s="13" customFormat="1" x14ac:dyDescent="0.35">
      <c r="A109" s="13">
        <v>1010149008</v>
      </c>
      <c r="B109" s="17" t="s">
        <v>95</v>
      </c>
      <c r="C109" s="17" t="s">
        <v>83</v>
      </c>
      <c r="D109" s="17" t="s">
        <v>286</v>
      </c>
      <c r="E109" s="17">
        <v>6571</v>
      </c>
      <c r="F109" s="17" t="s">
        <v>88</v>
      </c>
      <c r="G109" s="17" t="s">
        <v>89</v>
      </c>
      <c r="H109" s="17">
        <v>1010149008</v>
      </c>
      <c r="I109" s="17" t="s">
        <v>213</v>
      </c>
      <c r="J109" s="17" t="s">
        <v>94</v>
      </c>
      <c r="K109" s="17">
        <v>0</v>
      </c>
      <c r="L109" s="17">
        <v>0</v>
      </c>
      <c r="M109" s="17" t="s">
        <v>96</v>
      </c>
      <c r="N109" s="19">
        <v>45799</v>
      </c>
      <c r="O109" s="19">
        <v>1</v>
      </c>
      <c r="P109" s="20">
        <v>1423500</v>
      </c>
      <c r="Q109" s="17">
        <v>30</v>
      </c>
      <c r="R109" s="14">
        <f t="shared" si="55"/>
        <v>1423500</v>
      </c>
      <c r="S109" s="15">
        <v>200000</v>
      </c>
      <c r="T109" s="15">
        <v>3.16</v>
      </c>
      <c r="U109" s="7">
        <f t="shared" si="29"/>
        <v>25558.295454545456</v>
      </c>
      <c r="V109" s="15">
        <v>0</v>
      </c>
      <c r="W109" s="7">
        <f t="shared" si="30"/>
        <v>0</v>
      </c>
      <c r="X109" s="15">
        <v>0</v>
      </c>
      <c r="Y109" s="7">
        <f t="shared" si="28"/>
        <v>0</v>
      </c>
      <c r="Z109" s="15">
        <v>0</v>
      </c>
      <c r="AA109" s="7">
        <f t="shared" si="31"/>
        <v>0</v>
      </c>
      <c r="AB109" s="15">
        <v>0</v>
      </c>
      <c r="AC109" s="14">
        <f t="shared" si="32"/>
        <v>0</v>
      </c>
      <c r="AD109" s="14">
        <f t="shared" si="56"/>
        <v>3.16</v>
      </c>
      <c r="AE109" s="14">
        <f t="shared" si="57"/>
        <v>25558.295454545456</v>
      </c>
      <c r="AF109" s="15">
        <v>0</v>
      </c>
      <c r="AG109" s="7">
        <f t="shared" si="33"/>
        <v>0</v>
      </c>
      <c r="AH109" s="15">
        <v>0</v>
      </c>
      <c r="AI109" s="7">
        <f t="shared" si="34"/>
        <v>0</v>
      </c>
      <c r="AJ109" s="15">
        <v>0</v>
      </c>
      <c r="AK109" s="14">
        <f t="shared" si="35"/>
        <v>0</v>
      </c>
      <c r="AL109" s="15">
        <v>0</v>
      </c>
      <c r="AM109" s="7">
        <f t="shared" si="36"/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70.5</v>
      </c>
      <c r="AS109" s="7">
        <f t="shared" si="37"/>
        <v>159658.46590909088</v>
      </c>
      <c r="AT109" s="14">
        <f t="shared" si="58"/>
        <v>70.5</v>
      </c>
      <c r="AU109" s="14">
        <f t="shared" si="58"/>
        <v>159658.46590909088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70000</v>
      </c>
      <c r="BE109" s="15">
        <v>0</v>
      </c>
      <c r="BF109" s="15">
        <v>0</v>
      </c>
      <c r="BG109" s="15">
        <v>0</v>
      </c>
      <c r="BH109" s="15">
        <v>2887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201451</v>
      </c>
      <c r="BQ109" s="15">
        <v>40900</v>
      </c>
      <c r="BR109" s="14">
        <f t="shared" si="59"/>
        <v>242351</v>
      </c>
      <c r="BS109" s="15">
        <v>67200</v>
      </c>
      <c r="BT109" s="15">
        <v>0</v>
      </c>
      <c r="BU109" s="15">
        <v>0</v>
      </c>
      <c r="BV109" s="14">
        <f t="shared" si="60"/>
        <v>67200</v>
      </c>
      <c r="BW109" s="15">
        <v>156794</v>
      </c>
      <c r="BX109" s="15">
        <v>18816</v>
      </c>
      <c r="BY109" s="15">
        <v>156794</v>
      </c>
      <c r="BZ109" s="15">
        <v>73255</v>
      </c>
      <c r="CA109" s="15">
        <v>0</v>
      </c>
      <c r="CB109" s="15">
        <v>405659</v>
      </c>
      <c r="CC109" s="15">
        <v>2596813</v>
      </c>
      <c r="CD109" s="15">
        <v>155809</v>
      </c>
      <c r="CE109" s="15">
        <v>0</v>
      </c>
      <c r="CF109" s="14">
        <f t="shared" si="61"/>
        <v>2752622.7613636362</v>
      </c>
      <c r="CG109" s="18"/>
      <c r="CH109" s="16"/>
      <c r="CI109" s="17"/>
      <c r="CJ109" s="17"/>
    </row>
    <row r="110" spans="1:88" s="13" customFormat="1" x14ac:dyDescent="0.35">
      <c r="A110" s="13">
        <v>1012465590</v>
      </c>
      <c r="B110" s="17" t="s">
        <v>95</v>
      </c>
      <c r="C110" s="17" t="s">
        <v>83</v>
      </c>
      <c r="D110" s="17" t="s">
        <v>286</v>
      </c>
      <c r="E110" s="17">
        <v>6571</v>
      </c>
      <c r="F110" s="17" t="s">
        <v>88</v>
      </c>
      <c r="G110" s="17" t="s">
        <v>89</v>
      </c>
      <c r="H110" s="17">
        <v>1012465590</v>
      </c>
      <c r="I110" s="17" t="s">
        <v>214</v>
      </c>
      <c r="J110" s="17" t="s">
        <v>94</v>
      </c>
      <c r="K110" s="17">
        <v>0</v>
      </c>
      <c r="L110" s="17">
        <v>0</v>
      </c>
      <c r="M110" s="17" t="s">
        <v>96</v>
      </c>
      <c r="N110" s="19">
        <v>45799</v>
      </c>
      <c r="O110" s="19">
        <v>1</v>
      </c>
      <c r="P110" s="20">
        <v>1423500</v>
      </c>
      <c r="Q110" s="17">
        <v>30</v>
      </c>
      <c r="R110" s="14">
        <f t="shared" si="55"/>
        <v>1423500</v>
      </c>
      <c r="S110" s="15">
        <v>200000</v>
      </c>
      <c r="T110" s="15">
        <v>0</v>
      </c>
      <c r="U110" s="7">
        <f t="shared" si="29"/>
        <v>0</v>
      </c>
      <c r="V110" s="15">
        <v>7.25</v>
      </c>
      <c r="W110" s="7">
        <f t="shared" si="30"/>
        <v>82093.89204545453</v>
      </c>
      <c r="X110" s="15">
        <v>0</v>
      </c>
      <c r="Y110" s="7">
        <f t="shared" si="28"/>
        <v>0</v>
      </c>
      <c r="Z110" s="15">
        <v>2</v>
      </c>
      <c r="AA110" s="7">
        <f t="shared" si="31"/>
        <v>32352.272727272724</v>
      </c>
      <c r="AB110" s="15">
        <v>1.92</v>
      </c>
      <c r="AC110" s="14">
        <f t="shared" si="32"/>
        <v>24846.545454545452</v>
      </c>
      <c r="AD110" s="14">
        <f t="shared" si="56"/>
        <v>11.17</v>
      </c>
      <c r="AE110" s="14">
        <f t="shared" si="57"/>
        <v>139292.71022727271</v>
      </c>
      <c r="AF110" s="15">
        <v>2</v>
      </c>
      <c r="AG110" s="7">
        <f t="shared" si="33"/>
        <v>23293.636363636364</v>
      </c>
      <c r="AH110" s="15">
        <v>0</v>
      </c>
      <c r="AI110" s="7">
        <f t="shared" si="34"/>
        <v>0</v>
      </c>
      <c r="AJ110" s="15">
        <v>3</v>
      </c>
      <c r="AK110" s="14">
        <f t="shared" si="35"/>
        <v>40763.86363636364</v>
      </c>
      <c r="AL110" s="15">
        <v>0</v>
      </c>
      <c r="AM110" s="7">
        <f t="shared" si="36"/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52</v>
      </c>
      <c r="AS110" s="7">
        <f t="shared" si="37"/>
        <v>117762.27272727272</v>
      </c>
      <c r="AT110" s="14">
        <f t="shared" si="58"/>
        <v>57</v>
      </c>
      <c r="AU110" s="14">
        <f t="shared" si="58"/>
        <v>181819.77272727271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110000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222826</v>
      </c>
      <c r="BQ110" s="15">
        <v>45300</v>
      </c>
      <c r="BR110" s="14">
        <f t="shared" si="59"/>
        <v>268126</v>
      </c>
      <c r="BS110" s="15">
        <v>74300</v>
      </c>
      <c r="BT110" s="15">
        <v>0</v>
      </c>
      <c r="BU110" s="15">
        <v>0</v>
      </c>
      <c r="BV110" s="14">
        <f t="shared" si="60"/>
        <v>74300</v>
      </c>
      <c r="BW110" s="15">
        <v>171397</v>
      </c>
      <c r="BX110" s="15">
        <v>20569</v>
      </c>
      <c r="BY110" s="15">
        <v>171397</v>
      </c>
      <c r="BZ110" s="15">
        <v>80588</v>
      </c>
      <c r="CA110" s="15">
        <v>0</v>
      </c>
      <c r="CB110" s="15">
        <v>443951</v>
      </c>
      <c r="CC110" s="15">
        <v>2843228</v>
      </c>
      <c r="CD110" s="16">
        <v>172834.51704545459</v>
      </c>
      <c r="CE110" s="15">
        <v>0</v>
      </c>
      <c r="CF110" s="14">
        <f t="shared" si="61"/>
        <v>3013824</v>
      </c>
      <c r="CG110" s="18"/>
      <c r="CH110" s="16"/>
      <c r="CI110" s="22"/>
      <c r="CJ110" s="17"/>
    </row>
    <row r="111" spans="1:88" s="13" customFormat="1" x14ac:dyDescent="0.35">
      <c r="A111" s="13">
        <v>1030536210</v>
      </c>
      <c r="B111" s="17" t="s">
        <v>95</v>
      </c>
      <c r="C111" s="17" t="s">
        <v>83</v>
      </c>
      <c r="D111" s="17" t="s">
        <v>286</v>
      </c>
      <c r="E111" s="17">
        <v>6571</v>
      </c>
      <c r="F111" s="17" t="s">
        <v>88</v>
      </c>
      <c r="G111" s="17" t="s">
        <v>89</v>
      </c>
      <c r="H111" s="17">
        <v>1030536210</v>
      </c>
      <c r="I111" s="17" t="s">
        <v>215</v>
      </c>
      <c r="J111" s="17" t="s">
        <v>94</v>
      </c>
      <c r="K111" s="17">
        <v>0</v>
      </c>
      <c r="L111" s="17">
        <v>0</v>
      </c>
      <c r="M111" s="17" t="s">
        <v>96</v>
      </c>
      <c r="N111" s="19">
        <v>45799</v>
      </c>
      <c r="O111" s="19">
        <v>1</v>
      </c>
      <c r="P111" s="20">
        <v>1423500</v>
      </c>
      <c r="Q111" s="17">
        <v>30</v>
      </c>
      <c r="R111" s="14">
        <f t="shared" si="55"/>
        <v>1423500</v>
      </c>
      <c r="S111" s="15">
        <v>200000</v>
      </c>
      <c r="T111" s="15">
        <v>6.44</v>
      </c>
      <c r="U111" s="7">
        <f t="shared" si="29"/>
        <v>52087.159090909088</v>
      </c>
      <c r="V111" s="15">
        <v>0</v>
      </c>
      <c r="W111" s="7">
        <f t="shared" si="30"/>
        <v>0</v>
      </c>
      <c r="X111" s="15">
        <v>0</v>
      </c>
      <c r="Y111" s="7">
        <f t="shared" si="28"/>
        <v>0</v>
      </c>
      <c r="Z111" s="15">
        <v>0</v>
      </c>
      <c r="AA111" s="7">
        <f t="shared" si="31"/>
        <v>0</v>
      </c>
      <c r="AB111" s="15">
        <v>0</v>
      </c>
      <c r="AC111" s="14">
        <f t="shared" si="32"/>
        <v>0</v>
      </c>
      <c r="AD111" s="14">
        <f t="shared" si="56"/>
        <v>6.44</v>
      </c>
      <c r="AE111" s="14">
        <f t="shared" si="57"/>
        <v>52087.159090909088</v>
      </c>
      <c r="AF111" s="15">
        <v>0</v>
      </c>
      <c r="AG111" s="7">
        <f t="shared" si="33"/>
        <v>0</v>
      </c>
      <c r="AH111" s="15">
        <v>0</v>
      </c>
      <c r="AI111" s="7">
        <f t="shared" si="34"/>
        <v>0</v>
      </c>
      <c r="AJ111" s="15">
        <v>0</v>
      </c>
      <c r="AK111" s="14">
        <f t="shared" si="35"/>
        <v>0</v>
      </c>
      <c r="AL111" s="15">
        <v>0</v>
      </c>
      <c r="AM111" s="7">
        <f t="shared" si="36"/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77.23</v>
      </c>
      <c r="AS111" s="7">
        <f t="shared" si="37"/>
        <v>174899.62159090908</v>
      </c>
      <c r="AT111" s="14">
        <f t="shared" si="58"/>
        <v>77.23</v>
      </c>
      <c r="AU111" s="14">
        <f t="shared" si="58"/>
        <v>174899.62159090908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110000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211281</v>
      </c>
      <c r="BQ111" s="15">
        <v>42900</v>
      </c>
      <c r="BR111" s="14">
        <f t="shared" si="59"/>
        <v>254181</v>
      </c>
      <c r="BS111" s="15">
        <v>70500</v>
      </c>
      <c r="BT111" s="15">
        <v>0</v>
      </c>
      <c r="BU111" s="15">
        <v>0</v>
      </c>
      <c r="BV111" s="14">
        <f t="shared" si="60"/>
        <v>70500</v>
      </c>
      <c r="BW111" s="15">
        <v>163367</v>
      </c>
      <c r="BX111" s="15">
        <v>19605</v>
      </c>
      <c r="BY111" s="15">
        <v>163367</v>
      </c>
      <c r="BZ111" s="15">
        <v>76405</v>
      </c>
      <c r="CA111" s="15">
        <v>0</v>
      </c>
      <c r="CB111" s="15">
        <v>422744</v>
      </c>
      <c r="CC111" s="15">
        <v>2707912</v>
      </c>
      <c r="CD111" s="15">
        <v>162475</v>
      </c>
      <c r="CE111" s="15">
        <v>0</v>
      </c>
      <c r="CF111" s="14">
        <f t="shared" si="61"/>
        <v>2870386.7806818183</v>
      </c>
      <c r="CG111" s="18"/>
      <c r="CH111" s="16"/>
      <c r="CI111" s="17"/>
      <c r="CJ111" s="17"/>
    </row>
    <row r="112" spans="1:88" s="13" customFormat="1" x14ac:dyDescent="0.35">
      <c r="A112" s="13">
        <v>1032468486</v>
      </c>
      <c r="B112" s="17" t="s">
        <v>95</v>
      </c>
      <c r="C112" s="17" t="s">
        <v>83</v>
      </c>
      <c r="D112" s="17" t="s">
        <v>286</v>
      </c>
      <c r="E112" s="17">
        <v>6571</v>
      </c>
      <c r="F112" s="17" t="s">
        <v>88</v>
      </c>
      <c r="G112" s="17" t="s">
        <v>89</v>
      </c>
      <c r="H112" s="17">
        <v>1032468486</v>
      </c>
      <c r="I112" s="17" t="s">
        <v>216</v>
      </c>
      <c r="J112" s="17" t="s">
        <v>94</v>
      </c>
      <c r="K112" s="17">
        <v>0</v>
      </c>
      <c r="L112" s="17">
        <v>0</v>
      </c>
      <c r="M112" s="17" t="s">
        <v>96</v>
      </c>
      <c r="N112" s="19">
        <v>45799</v>
      </c>
      <c r="O112" s="19">
        <v>1</v>
      </c>
      <c r="P112" s="20">
        <v>1423500</v>
      </c>
      <c r="Q112" s="17">
        <v>30</v>
      </c>
      <c r="R112" s="14">
        <f t="shared" si="55"/>
        <v>1423500</v>
      </c>
      <c r="S112" s="15">
        <v>200000</v>
      </c>
      <c r="T112" s="15">
        <v>3.8</v>
      </c>
      <c r="U112" s="7">
        <f t="shared" si="29"/>
        <v>30734.659090909085</v>
      </c>
      <c r="V112" s="15">
        <v>0</v>
      </c>
      <c r="W112" s="7">
        <f t="shared" si="30"/>
        <v>0</v>
      </c>
      <c r="X112" s="15">
        <v>0</v>
      </c>
      <c r="Y112" s="7">
        <f t="shared" si="28"/>
        <v>0</v>
      </c>
      <c r="Z112" s="15">
        <v>0</v>
      </c>
      <c r="AA112" s="7">
        <f t="shared" si="31"/>
        <v>0</v>
      </c>
      <c r="AB112" s="15">
        <v>0</v>
      </c>
      <c r="AC112" s="14">
        <f t="shared" si="32"/>
        <v>0</v>
      </c>
      <c r="AD112" s="14">
        <f t="shared" si="56"/>
        <v>3.8</v>
      </c>
      <c r="AE112" s="14">
        <f t="shared" si="57"/>
        <v>30734.659090909085</v>
      </c>
      <c r="AF112" s="15">
        <v>0</v>
      </c>
      <c r="AG112" s="7">
        <f t="shared" si="33"/>
        <v>0</v>
      </c>
      <c r="AH112" s="15">
        <v>0</v>
      </c>
      <c r="AI112" s="7">
        <f t="shared" si="34"/>
        <v>0</v>
      </c>
      <c r="AJ112" s="15">
        <v>0</v>
      </c>
      <c r="AK112" s="14">
        <f t="shared" si="35"/>
        <v>0</v>
      </c>
      <c r="AL112" s="15">
        <v>0</v>
      </c>
      <c r="AM112" s="7">
        <f t="shared" si="36"/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71.47</v>
      </c>
      <c r="AS112" s="7">
        <f t="shared" si="37"/>
        <v>161855.18522727271</v>
      </c>
      <c r="AT112" s="14">
        <f t="shared" si="58"/>
        <v>71.47</v>
      </c>
      <c r="AU112" s="14">
        <f t="shared" si="58"/>
        <v>161855.18522727271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70000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202356</v>
      </c>
      <c r="BQ112" s="15">
        <v>41100</v>
      </c>
      <c r="BR112" s="14">
        <f t="shared" si="59"/>
        <v>243456</v>
      </c>
      <c r="BS112" s="15">
        <v>67500</v>
      </c>
      <c r="BT112" s="15">
        <v>0</v>
      </c>
      <c r="BU112" s="15">
        <v>0</v>
      </c>
      <c r="BV112" s="14">
        <f t="shared" si="60"/>
        <v>67500</v>
      </c>
      <c r="BW112" s="15">
        <v>157168</v>
      </c>
      <c r="BX112" s="15">
        <v>18861</v>
      </c>
      <c r="BY112" s="15">
        <v>157168</v>
      </c>
      <c r="BZ112" s="15">
        <v>73176</v>
      </c>
      <c r="CA112" s="15">
        <v>0</v>
      </c>
      <c r="CB112" s="15">
        <v>406373</v>
      </c>
      <c r="CC112" s="15">
        <v>2603419</v>
      </c>
      <c r="CD112" s="15">
        <v>156208</v>
      </c>
      <c r="CE112" s="15">
        <v>0</v>
      </c>
      <c r="CF112" s="14">
        <f t="shared" si="61"/>
        <v>2759626.8443181817</v>
      </c>
      <c r="CG112" s="18"/>
      <c r="CH112" s="16"/>
      <c r="CI112" s="15"/>
      <c r="CJ112" s="15"/>
    </row>
    <row r="113" spans="1:88" s="13" customFormat="1" x14ac:dyDescent="0.35">
      <c r="A113" s="13">
        <v>1001294796</v>
      </c>
      <c r="B113" s="17" t="s">
        <v>95</v>
      </c>
      <c r="C113" s="17" t="s">
        <v>83</v>
      </c>
      <c r="D113" s="17" t="s">
        <v>286</v>
      </c>
      <c r="E113" s="17">
        <v>6571</v>
      </c>
      <c r="F113" s="17" t="s">
        <v>88</v>
      </c>
      <c r="G113" s="17" t="s">
        <v>89</v>
      </c>
      <c r="H113" s="17">
        <v>1001294796</v>
      </c>
      <c r="I113" s="17" t="s">
        <v>217</v>
      </c>
      <c r="J113" s="17" t="s">
        <v>94</v>
      </c>
      <c r="K113" s="17">
        <v>0</v>
      </c>
      <c r="L113" s="17">
        <v>0</v>
      </c>
      <c r="M113" s="17" t="s">
        <v>96</v>
      </c>
      <c r="N113" s="19">
        <v>45805</v>
      </c>
      <c r="O113" s="19">
        <v>1</v>
      </c>
      <c r="P113" s="20">
        <v>1423500</v>
      </c>
      <c r="Q113" s="17">
        <v>30</v>
      </c>
      <c r="R113" s="14">
        <f t="shared" si="55"/>
        <v>1423500</v>
      </c>
      <c r="S113" s="15">
        <v>200000</v>
      </c>
      <c r="T113" s="15">
        <v>0</v>
      </c>
      <c r="U113" s="7">
        <f t="shared" si="29"/>
        <v>0</v>
      </c>
      <c r="V113" s="15">
        <v>0</v>
      </c>
      <c r="W113" s="7">
        <f t="shared" si="30"/>
        <v>0</v>
      </c>
      <c r="X113" s="15">
        <v>0</v>
      </c>
      <c r="Y113" s="7">
        <f t="shared" si="28"/>
        <v>0</v>
      </c>
      <c r="Z113" s="15">
        <v>0</v>
      </c>
      <c r="AA113" s="7">
        <f t="shared" si="31"/>
        <v>0</v>
      </c>
      <c r="AB113" s="15">
        <v>0</v>
      </c>
      <c r="AC113" s="14">
        <f t="shared" si="32"/>
        <v>0</v>
      </c>
      <c r="AD113" s="14">
        <f t="shared" si="56"/>
        <v>0</v>
      </c>
      <c r="AE113" s="14">
        <f t="shared" si="57"/>
        <v>0</v>
      </c>
      <c r="AF113" s="15">
        <v>0</v>
      </c>
      <c r="AG113" s="7">
        <f t="shared" si="33"/>
        <v>0</v>
      </c>
      <c r="AH113" s="15">
        <v>0</v>
      </c>
      <c r="AI113" s="7">
        <f t="shared" si="34"/>
        <v>0</v>
      </c>
      <c r="AJ113" s="15">
        <v>0</v>
      </c>
      <c r="AK113" s="14">
        <f t="shared" si="35"/>
        <v>0</v>
      </c>
      <c r="AL113" s="15">
        <v>0</v>
      </c>
      <c r="AM113" s="7">
        <f t="shared" si="36"/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73.77</v>
      </c>
      <c r="AS113" s="7">
        <f t="shared" si="37"/>
        <v>167063.90113636359</v>
      </c>
      <c r="AT113" s="14">
        <f t="shared" si="58"/>
        <v>73.77</v>
      </c>
      <c r="AU113" s="14">
        <f t="shared" si="58"/>
        <v>167063.90113636359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110000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204077</v>
      </c>
      <c r="BQ113" s="15">
        <v>41500</v>
      </c>
      <c r="BR113" s="14">
        <f t="shared" si="59"/>
        <v>245577</v>
      </c>
      <c r="BS113" s="15">
        <v>68100</v>
      </c>
      <c r="BT113" s="15">
        <v>0</v>
      </c>
      <c r="BU113" s="15">
        <v>0</v>
      </c>
      <c r="BV113" s="14">
        <f t="shared" si="60"/>
        <v>68100</v>
      </c>
      <c r="BW113" s="15">
        <v>158374</v>
      </c>
      <c r="BX113" s="15">
        <v>19006</v>
      </c>
      <c r="BY113" s="15">
        <v>158374</v>
      </c>
      <c r="BZ113" s="15">
        <v>73805</v>
      </c>
      <c r="CA113" s="15">
        <v>0</v>
      </c>
      <c r="CB113" s="15">
        <v>409559</v>
      </c>
      <c r="CC113" s="15">
        <v>2623800</v>
      </c>
      <c r="CD113" s="15">
        <v>157430</v>
      </c>
      <c r="CE113" s="15">
        <v>0</v>
      </c>
      <c r="CF113" s="14">
        <f t="shared" si="61"/>
        <v>2781229.9011363639</v>
      </c>
      <c r="CG113" s="18"/>
      <c r="CH113" s="16"/>
      <c r="CI113" s="17"/>
      <c r="CJ113" s="15"/>
    </row>
    <row r="114" spans="1:88" s="13" customFormat="1" x14ac:dyDescent="0.35">
      <c r="A114" s="13">
        <v>1007854843</v>
      </c>
      <c r="B114" s="17" t="s">
        <v>95</v>
      </c>
      <c r="C114" s="17" t="s">
        <v>83</v>
      </c>
      <c r="D114" s="17" t="s">
        <v>286</v>
      </c>
      <c r="E114" s="17">
        <v>1980</v>
      </c>
      <c r="F114" s="17" t="s">
        <v>92</v>
      </c>
      <c r="G114" s="17" t="s">
        <v>93</v>
      </c>
      <c r="H114" s="17">
        <v>1007854843</v>
      </c>
      <c r="I114" s="17" t="s">
        <v>218</v>
      </c>
      <c r="J114" s="17" t="s">
        <v>94</v>
      </c>
      <c r="K114" s="17">
        <v>0</v>
      </c>
      <c r="L114" s="17">
        <v>0</v>
      </c>
      <c r="M114" s="17" t="s">
        <v>96</v>
      </c>
      <c r="N114" s="19">
        <v>45805</v>
      </c>
      <c r="O114" s="19">
        <v>1</v>
      </c>
      <c r="P114" s="20">
        <v>782925</v>
      </c>
      <c r="Q114" s="17">
        <v>30</v>
      </c>
      <c r="R114" s="14">
        <f t="shared" si="55"/>
        <v>782925</v>
      </c>
      <c r="S114" s="15">
        <v>200000</v>
      </c>
      <c r="T114" s="15">
        <v>3.6</v>
      </c>
      <c r="U114" s="7">
        <f>+P114/110*T114*1.25</f>
        <v>32028.75</v>
      </c>
      <c r="V114" s="15">
        <v>0</v>
      </c>
      <c r="W114" s="7">
        <f>+P114/110*V114*1.75</f>
        <v>0</v>
      </c>
      <c r="X114" s="15">
        <v>0</v>
      </c>
      <c r="Y114" s="7">
        <f t="shared" si="28"/>
        <v>0</v>
      </c>
      <c r="Z114" s="15">
        <v>0</v>
      </c>
      <c r="AA114" s="7">
        <f t="shared" si="31"/>
        <v>0</v>
      </c>
      <c r="AB114" s="15">
        <v>0</v>
      </c>
      <c r="AC114" s="14">
        <f t="shared" si="32"/>
        <v>0</v>
      </c>
      <c r="AD114" s="14">
        <f t="shared" si="56"/>
        <v>3.6</v>
      </c>
      <c r="AE114" s="14">
        <f t="shared" si="57"/>
        <v>32028.75</v>
      </c>
      <c r="AF114" s="15">
        <v>3.2</v>
      </c>
      <c r="AG114" s="7">
        <f>+P114/110*AF114*1.8</f>
        <v>40996.800000000003</v>
      </c>
      <c r="AH114" s="15">
        <v>0</v>
      </c>
      <c r="AI114" s="7">
        <f t="shared" si="34"/>
        <v>0</v>
      </c>
      <c r="AJ114" s="15">
        <v>0</v>
      </c>
      <c r="AK114" s="14">
        <f t="shared" si="35"/>
        <v>0</v>
      </c>
      <c r="AL114" s="15">
        <v>0</v>
      </c>
      <c r="AM114" s="7">
        <f t="shared" si="36"/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4</v>
      </c>
      <c r="AS114" s="7">
        <f>+P114/110*AR114*0.35</f>
        <v>9964.5</v>
      </c>
      <c r="AT114" s="14">
        <f t="shared" si="58"/>
        <v>7.2</v>
      </c>
      <c r="AU114" s="14">
        <f t="shared" si="58"/>
        <v>50961.3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260092</v>
      </c>
      <c r="BD114" s="15">
        <v>0</v>
      </c>
      <c r="BE114" s="15">
        <v>328224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170860</v>
      </c>
      <c r="BQ114" s="15">
        <v>34700</v>
      </c>
      <c r="BR114" s="14">
        <f t="shared" si="59"/>
        <v>205560</v>
      </c>
      <c r="BS114" s="15">
        <v>34700</v>
      </c>
      <c r="BT114" s="15">
        <v>0</v>
      </c>
      <c r="BU114" s="15">
        <v>0</v>
      </c>
      <c r="BV114" s="14">
        <f t="shared" si="60"/>
        <v>34700</v>
      </c>
      <c r="BW114" s="15">
        <v>88823</v>
      </c>
      <c r="BX114" s="15">
        <v>10659</v>
      </c>
      <c r="BY114" s="15">
        <v>88823</v>
      </c>
      <c r="BZ114" s="15">
        <v>37581</v>
      </c>
      <c r="CA114" s="15">
        <v>0</v>
      </c>
      <c r="CB114" s="15">
        <v>225886</v>
      </c>
      <c r="CC114" s="15">
        <v>2120379</v>
      </c>
      <c r="CD114" s="15">
        <v>127223</v>
      </c>
      <c r="CE114" s="15">
        <v>0</v>
      </c>
      <c r="CF114" s="14">
        <f t="shared" si="61"/>
        <v>2247600.0499999998</v>
      </c>
      <c r="CG114" s="18"/>
      <c r="CH114" s="16"/>
      <c r="CI114" s="17"/>
      <c r="CJ114" s="17"/>
    </row>
    <row r="115" spans="1:88" s="13" customFormat="1" x14ac:dyDescent="0.35">
      <c r="A115" s="13">
        <v>1010842630</v>
      </c>
      <c r="B115" s="17" t="s">
        <v>95</v>
      </c>
      <c r="C115" s="17" t="s">
        <v>83</v>
      </c>
      <c r="D115" s="17" t="s">
        <v>286</v>
      </c>
      <c r="E115" s="17">
        <v>6571</v>
      </c>
      <c r="F115" s="17" t="s">
        <v>88</v>
      </c>
      <c r="G115" s="17" t="s">
        <v>89</v>
      </c>
      <c r="H115" s="17">
        <v>1010842630</v>
      </c>
      <c r="I115" s="17" t="s">
        <v>219</v>
      </c>
      <c r="J115" s="17" t="s">
        <v>94</v>
      </c>
      <c r="K115" s="17">
        <v>0</v>
      </c>
      <c r="L115" s="17">
        <v>0</v>
      </c>
      <c r="M115" s="17" t="s">
        <v>96</v>
      </c>
      <c r="N115" s="19">
        <v>45805</v>
      </c>
      <c r="O115" s="19">
        <v>1</v>
      </c>
      <c r="P115" s="20">
        <v>1423500</v>
      </c>
      <c r="Q115" s="17">
        <v>30</v>
      </c>
      <c r="R115" s="14">
        <f t="shared" si="55"/>
        <v>1423500</v>
      </c>
      <c r="S115" s="15">
        <v>193333</v>
      </c>
      <c r="T115" s="15">
        <v>0</v>
      </c>
      <c r="U115" s="7">
        <f t="shared" si="29"/>
        <v>0</v>
      </c>
      <c r="V115" s="15">
        <v>3.08</v>
      </c>
      <c r="W115" s="7">
        <f t="shared" si="30"/>
        <v>34875.75</v>
      </c>
      <c r="X115" s="15">
        <v>0</v>
      </c>
      <c r="Y115" s="7">
        <f t="shared" si="28"/>
        <v>0</v>
      </c>
      <c r="Z115" s="15">
        <v>0</v>
      </c>
      <c r="AA115" s="7">
        <f t="shared" si="31"/>
        <v>0</v>
      </c>
      <c r="AB115" s="15">
        <v>0</v>
      </c>
      <c r="AC115" s="14">
        <f t="shared" si="32"/>
        <v>0</v>
      </c>
      <c r="AD115" s="14">
        <f t="shared" si="56"/>
        <v>3.08</v>
      </c>
      <c r="AE115" s="14">
        <f t="shared" si="57"/>
        <v>34875.75</v>
      </c>
      <c r="AF115" s="15">
        <v>0</v>
      </c>
      <c r="AG115" s="7">
        <f t="shared" si="33"/>
        <v>0</v>
      </c>
      <c r="AH115" s="15">
        <v>0</v>
      </c>
      <c r="AI115" s="7">
        <f t="shared" si="34"/>
        <v>0</v>
      </c>
      <c r="AJ115" s="15">
        <v>0</v>
      </c>
      <c r="AK115" s="14">
        <f t="shared" si="35"/>
        <v>0</v>
      </c>
      <c r="AL115" s="15">
        <v>0</v>
      </c>
      <c r="AM115" s="7">
        <f t="shared" si="36"/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54</v>
      </c>
      <c r="AS115" s="7">
        <f t="shared" si="37"/>
        <v>122291.59090909088</v>
      </c>
      <c r="AT115" s="14">
        <f t="shared" si="58"/>
        <v>54</v>
      </c>
      <c r="AU115" s="14">
        <f t="shared" si="58"/>
        <v>122291.59090909088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110000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203505</v>
      </c>
      <c r="BQ115" s="15">
        <v>40100</v>
      </c>
      <c r="BR115" s="14">
        <f t="shared" si="59"/>
        <v>243605</v>
      </c>
      <c r="BS115" s="15">
        <v>67700</v>
      </c>
      <c r="BT115" s="15">
        <v>0</v>
      </c>
      <c r="BU115" s="15">
        <v>0</v>
      </c>
      <c r="BV115" s="14">
        <f t="shared" si="60"/>
        <v>67700</v>
      </c>
      <c r="BW115" s="15">
        <v>156994</v>
      </c>
      <c r="BX115" s="15">
        <v>18840</v>
      </c>
      <c r="BY115" s="15">
        <v>156994</v>
      </c>
      <c r="BZ115" s="15">
        <v>73375</v>
      </c>
      <c r="CA115" s="15">
        <v>0</v>
      </c>
      <c r="CB115" s="15">
        <v>406203</v>
      </c>
      <c r="CC115" s="15">
        <v>2601509</v>
      </c>
      <c r="CD115" s="15">
        <v>156093</v>
      </c>
      <c r="CE115" s="15">
        <v>0</v>
      </c>
      <c r="CF115" s="14">
        <f t="shared" si="61"/>
        <v>2757601.3409090908</v>
      </c>
      <c r="CG115" s="18"/>
      <c r="CH115" s="16"/>
      <c r="CI115" s="17"/>
      <c r="CJ115" s="17"/>
    </row>
    <row r="116" spans="1:88" s="13" customFormat="1" x14ac:dyDescent="0.35">
      <c r="A116" s="13">
        <v>1018452451</v>
      </c>
      <c r="B116" s="17" t="s">
        <v>95</v>
      </c>
      <c r="C116" s="17" t="s">
        <v>83</v>
      </c>
      <c r="D116" s="17" t="s">
        <v>286</v>
      </c>
      <c r="E116" s="17">
        <v>6571</v>
      </c>
      <c r="F116" s="17" t="s">
        <v>88</v>
      </c>
      <c r="G116" s="17" t="s">
        <v>89</v>
      </c>
      <c r="H116" s="17">
        <v>1018452451</v>
      </c>
      <c r="I116" s="17" t="s">
        <v>220</v>
      </c>
      <c r="J116" s="17" t="s">
        <v>94</v>
      </c>
      <c r="K116" s="17">
        <v>0</v>
      </c>
      <c r="L116" s="17">
        <v>0</v>
      </c>
      <c r="M116" s="17" t="s">
        <v>96</v>
      </c>
      <c r="N116" s="19">
        <v>45805</v>
      </c>
      <c r="O116" s="19">
        <v>1</v>
      </c>
      <c r="P116" s="20">
        <v>782925</v>
      </c>
      <c r="Q116" s="17">
        <v>30</v>
      </c>
      <c r="R116" s="14">
        <f t="shared" si="55"/>
        <v>782925</v>
      </c>
      <c r="S116" s="15">
        <v>200000</v>
      </c>
      <c r="T116" s="15">
        <v>3.1</v>
      </c>
      <c r="U116" s="7">
        <f t="shared" ref="U116" si="62">+P116/110*T116*1.25</f>
        <v>27580.3125</v>
      </c>
      <c r="V116" s="15">
        <v>0</v>
      </c>
      <c r="W116" s="7">
        <f t="shared" ref="W116:W118" si="63">+P116/110*V116*1.75</f>
        <v>0</v>
      </c>
      <c r="X116" s="15">
        <v>0</v>
      </c>
      <c r="Y116" s="7">
        <f t="shared" si="28"/>
        <v>0</v>
      </c>
      <c r="Z116" s="15">
        <v>0</v>
      </c>
      <c r="AA116" s="7">
        <f t="shared" si="31"/>
        <v>0</v>
      </c>
      <c r="AB116" s="15">
        <v>0</v>
      </c>
      <c r="AC116" s="14">
        <f t="shared" si="32"/>
        <v>0</v>
      </c>
      <c r="AD116" s="14">
        <f t="shared" si="56"/>
        <v>3.1</v>
      </c>
      <c r="AE116" s="14">
        <f t="shared" si="57"/>
        <v>27580.3125</v>
      </c>
      <c r="AF116" s="15">
        <v>0</v>
      </c>
      <c r="AG116" s="7">
        <f t="shared" si="33"/>
        <v>0</v>
      </c>
      <c r="AH116" s="15">
        <v>0</v>
      </c>
      <c r="AI116" s="7">
        <f t="shared" si="34"/>
        <v>0</v>
      </c>
      <c r="AJ116" s="15">
        <v>0</v>
      </c>
      <c r="AK116" s="14">
        <f t="shared" si="35"/>
        <v>0</v>
      </c>
      <c r="AL116" s="15">
        <v>0</v>
      </c>
      <c r="AM116" s="7">
        <f t="shared" si="36"/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38.56</v>
      </c>
      <c r="AS116" s="7">
        <f t="shared" ref="AS116" si="64">+P116/110*AR116*0.35</f>
        <v>96057.779999999984</v>
      </c>
      <c r="AT116" s="14">
        <f t="shared" si="58"/>
        <v>38.56</v>
      </c>
      <c r="AU116" s="14">
        <f t="shared" si="58"/>
        <v>96057.779999999984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110000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170860</v>
      </c>
      <c r="BQ116" s="15">
        <v>34700</v>
      </c>
      <c r="BR116" s="14">
        <f t="shared" si="59"/>
        <v>205560</v>
      </c>
      <c r="BS116" s="15">
        <v>40700</v>
      </c>
      <c r="BT116" s="15">
        <v>0</v>
      </c>
      <c r="BU116" s="15">
        <v>0</v>
      </c>
      <c r="BV116" s="14">
        <f t="shared" si="60"/>
        <v>40700</v>
      </c>
      <c r="BW116" s="15">
        <v>101376</v>
      </c>
      <c r="BX116" s="15">
        <v>12166</v>
      </c>
      <c r="BY116" s="15">
        <v>101376</v>
      </c>
      <c r="BZ116" s="15">
        <v>44119</v>
      </c>
      <c r="CA116" s="15">
        <v>0</v>
      </c>
      <c r="CB116" s="15">
        <v>259037</v>
      </c>
      <c r="CC116" s="15">
        <v>1721861</v>
      </c>
      <c r="CD116" s="15">
        <v>103311</v>
      </c>
      <c r="CE116" s="15">
        <v>0</v>
      </c>
      <c r="CF116" s="14">
        <f t="shared" si="61"/>
        <v>1825171.0925</v>
      </c>
      <c r="CG116" s="18"/>
      <c r="CH116" s="16"/>
      <c r="CI116" s="15"/>
      <c r="CJ116" s="15"/>
    </row>
    <row r="117" spans="1:88" s="13" customFormat="1" x14ac:dyDescent="0.35">
      <c r="A117" s="13">
        <v>79223088</v>
      </c>
      <c r="B117" s="17" t="s">
        <v>95</v>
      </c>
      <c r="C117" s="17" t="s">
        <v>83</v>
      </c>
      <c r="D117" s="17" t="s">
        <v>286</v>
      </c>
      <c r="E117" s="17">
        <v>6571</v>
      </c>
      <c r="F117" s="17" t="s">
        <v>88</v>
      </c>
      <c r="G117" s="17" t="s">
        <v>89</v>
      </c>
      <c r="H117" s="17">
        <v>79223088</v>
      </c>
      <c r="I117" s="17" t="s">
        <v>221</v>
      </c>
      <c r="J117" s="17" t="s">
        <v>94</v>
      </c>
      <c r="K117" s="17">
        <v>0</v>
      </c>
      <c r="L117" s="17">
        <v>0</v>
      </c>
      <c r="M117" s="17" t="s">
        <v>96</v>
      </c>
      <c r="N117" s="19">
        <v>45805</v>
      </c>
      <c r="O117" s="19">
        <v>45840</v>
      </c>
      <c r="P117" s="20">
        <v>782925</v>
      </c>
      <c r="Q117" s="17">
        <v>0</v>
      </c>
      <c r="R117" s="14">
        <f t="shared" si="55"/>
        <v>0</v>
      </c>
      <c r="S117" s="15">
        <v>0</v>
      </c>
      <c r="T117" s="15">
        <v>6.15</v>
      </c>
      <c r="U117" s="7">
        <f t="shared" ref="U117:U118" si="65">+P117/115*T117*1.25</f>
        <v>52336.83423913044</v>
      </c>
      <c r="V117" s="15">
        <v>0</v>
      </c>
      <c r="W117" s="7">
        <f t="shared" si="63"/>
        <v>0</v>
      </c>
      <c r="X117" s="15">
        <v>0</v>
      </c>
      <c r="Y117" s="7">
        <f t="shared" si="28"/>
        <v>0</v>
      </c>
      <c r="Z117" s="15">
        <v>0</v>
      </c>
      <c r="AA117" s="7">
        <f t="shared" si="31"/>
        <v>0</v>
      </c>
      <c r="AB117" s="15">
        <v>0</v>
      </c>
      <c r="AC117" s="14">
        <f t="shared" si="32"/>
        <v>0</v>
      </c>
      <c r="AD117" s="14">
        <f t="shared" si="56"/>
        <v>6.15</v>
      </c>
      <c r="AE117" s="14">
        <f t="shared" si="57"/>
        <v>52336.83423913044</v>
      </c>
      <c r="AF117" s="15">
        <v>0</v>
      </c>
      <c r="AG117" s="7">
        <f t="shared" si="33"/>
        <v>0</v>
      </c>
      <c r="AH117" s="15">
        <v>0</v>
      </c>
      <c r="AI117" s="7">
        <f t="shared" si="34"/>
        <v>0</v>
      </c>
      <c r="AJ117" s="15">
        <v>0</v>
      </c>
      <c r="AK117" s="14">
        <f t="shared" si="35"/>
        <v>0</v>
      </c>
      <c r="AL117" s="15">
        <v>0</v>
      </c>
      <c r="AM117" s="7">
        <f t="shared" si="36"/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7">
        <f t="shared" ref="AS117:AS118" si="66">+P117/115*AR117*0.35</f>
        <v>0</v>
      </c>
      <c r="AT117" s="14">
        <f t="shared" si="58"/>
        <v>0</v>
      </c>
      <c r="AU117" s="14">
        <f t="shared" si="58"/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52195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1230</v>
      </c>
      <c r="BQ117" s="15">
        <v>200</v>
      </c>
      <c r="BR117" s="14">
        <f t="shared" si="59"/>
        <v>1430</v>
      </c>
      <c r="BS117" s="15">
        <v>2100</v>
      </c>
      <c r="BT117" s="15">
        <v>0</v>
      </c>
      <c r="BU117" s="15">
        <v>0</v>
      </c>
      <c r="BV117" s="14">
        <f t="shared" si="60"/>
        <v>2100</v>
      </c>
      <c r="BW117" s="15">
        <v>4362</v>
      </c>
      <c r="BX117" s="15">
        <v>524</v>
      </c>
      <c r="BY117" s="15">
        <v>4362</v>
      </c>
      <c r="BZ117" s="15">
        <v>2271</v>
      </c>
      <c r="CA117" s="15">
        <v>0</v>
      </c>
      <c r="CB117" s="15">
        <v>11519</v>
      </c>
      <c r="CC117" s="15">
        <v>119581</v>
      </c>
      <c r="CD117" s="15">
        <v>7175</v>
      </c>
      <c r="CE117" s="15">
        <v>0</v>
      </c>
      <c r="CF117" s="14">
        <f t="shared" si="61"/>
        <v>126755.83423913043</v>
      </c>
      <c r="CG117" s="18"/>
      <c r="CH117" s="16"/>
      <c r="CI117" s="15"/>
      <c r="CJ117" s="15"/>
    </row>
    <row r="118" spans="1:88" s="13" customFormat="1" x14ac:dyDescent="0.35">
      <c r="A118" s="13">
        <v>1000808989</v>
      </c>
      <c r="B118" s="17" t="s">
        <v>95</v>
      </c>
      <c r="C118" s="17" t="s">
        <v>83</v>
      </c>
      <c r="D118" s="17" t="s">
        <v>286</v>
      </c>
      <c r="E118" s="17">
        <v>6571</v>
      </c>
      <c r="F118" s="17" t="s">
        <v>88</v>
      </c>
      <c r="G118" s="17" t="s">
        <v>89</v>
      </c>
      <c r="H118" s="17">
        <v>1000808989</v>
      </c>
      <c r="I118" s="17" t="s">
        <v>222</v>
      </c>
      <c r="J118" s="17" t="s">
        <v>94</v>
      </c>
      <c r="K118" s="17">
        <v>0</v>
      </c>
      <c r="L118" s="17">
        <v>0</v>
      </c>
      <c r="M118" s="17" t="s">
        <v>96</v>
      </c>
      <c r="N118" s="19">
        <v>45805</v>
      </c>
      <c r="O118" s="19">
        <v>45840</v>
      </c>
      <c r="P118" s="20">
        <v>782925</v>
      </c>
      <c r="Q118" s="17">
        <v>0</v>
      </c>
      <c r="R118" s="14">
        <f t="shared" si="55"/>
        <v>0</v>
      </c>
      <c r="S118" s="15">
        <v>0</v>
      </c>
      <c r="T118" s="15">
        <v>5.9</v>
      </c>
      <c r="U118" s="7">
        <f t="shared" si="65"/>
        <v>50209.320652173919</v>
      </c>
      <c r="V118" s="15">
        <v>0</v>
      </c>
      <c r="W118" s="7">
        <f t="shared" si="63"/>
        <v>0</v>
      </c>
      <c r="X118" s="15">
        <v>0</v>
      </c>
      <c r="Y118" s="7">
        <f t="shared" si="28"/>
        <v>0</v>
      </c>
      <c r="Z118" s="15">
        <v>0</v>
      </c>
      <c r="AA118" s="7">
        <f t="shared" si="31"/>
        <v>0</v>
      </c>
      <c r="AB118" s="15">
        <v>0</v>
      </c>
      <c r="AC118" s="14">
        <f t="shared" si="32"/>
        <v>0</v>
      </c>
      <c r="AD118" s="14">
        <f t="shared" si="56"/>
        <v>5.9</v>
      </c>
      <c r="AE118" s="14">
        <f t="shared" si="57"/>
        <v>50209.320652173919</v>
      </c>
      <c r="AF118" s="15">
        <v>0</v>
      </c>
      <c r="AG118" s="7">
        <f t="shared" si="33"/>
        <v>0</v>
      </c>
      <c r="AH118" s="15">
        <v>0</v>
      </c>
      <c r="AI118" s="7">
        <f t="shared" si="34"/>
        <v>0</v>
      </c>
      <c r="AJ118" s="15">
        <v>0</v>
      </c>
      <c r="AK118" s="14">
        <f t="shared" si="35"/>
        <v>0</v>
      </c>
      <c r="AL118" s="15">
        <v>0</v>
      </c>
      <c r="AM118" s="7">
        <f t="shared" si="36"/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7">
        <f t="shared" si="66"/>
        <v>0</v>
      </c>
      <c r="AT118" s="14">
        <f t="shared" si="58"/>
        <v>0</v>
      </c>
      <c r="AU118" s="14">
        <f t="shared" si="58"/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900</v>
      </c>
      <c r="BQ118" s="15">
        <v>100</v>
      </c>
      <c r="BR118" s="14">
        <f t="shared" si="59"/>
        <v>1000</v>
      </c>
      <c r="BS118" s="15">
        <v>2000</v>
      </c>
      <c r="BT118" s="15">
        <v>0</v>
      </c>
      <c r="BU118" s="15">
        <v>0</v>
      </c>
      <c r="BV118" s="14">
        <f t="shared" si="60"/>
        <v>2000</v>
      </c>
      <c r="BW118" s="15">
        <v>4184</v>
      </c>
      <c r="BX118" s="15">
        <v>502</v>
      </c>
      <c r="BY118" s="15">
        <v>4184</v>
      </c>
      <c r="BZ118" s="15">
        <v>2178</v>
      </c>
      <c r="CA118" s="15">
        <v>0</v>
      </c>
      <c r="CB118" s="15">
        <v>11048</v>
      </c>
      <c r="CC118" s="15">
        <v>64257</v>
      </c>
      <c r="CD118" s="15">
        <v>3856</v>
      </c>
      <c r="CE118" s="15">
        <v>0</v>
      </c>
      <c r="CF118" s="14">
        <f t="shared" si="61"/>
        <v>68113.320652173919</v>
      </c>
      <c r="CG118" s="18"/>
      <c r="CH118" s="16"/>
      <c r="CI118" s="17"/>
      <c r="CJ118" s="17"/>
    </row>
    <row r="119" spans="1:88" s="13" customFormat="1" x14ac:dyDescent="0.35">
      <c r="A119" s="13">
        <v>1000604818</v>
      </c>
      <c r="B119" s="17" t="s">
        <v>95</v>
      </c>
      <c r="C119" s="17" t="s">
        <v>83</v>
      </c>
      <c r="D119" s="17" t="s">
        <v>286</v>
      </c>
      <c r="E119" s="17">
        <v>6571</v>
      </c>
      <c r="F119" s="17" t="s">
        <v>88</v>
      </c>
      <c r="G119" s="17" t="s">
        <v>89</v>
      </c>
      <c r="H119" s="17">
        <v>1000604818</v>
      </c>
      <c r="I119" s="17" t="s">
        <v>223</v>
      </c>
      <c r="J119" s="17" t="s">
        <v>94</v>
      </c>
      <c r="K119" s="17">
        <v>0</v>
      </c>
      <c r="L119" s="17">
        <v>0</v>
      </c>
      <c r="M119" s="17" t="s">
        <v>96</v>
      </c>
      <c r="N119" s="19">
        <v>45812</v>
      </c>
      <c r="O119" s="19">
        <v>1</v>
      </c>
      <c r="P119" s="20">
        <v>1423500</v>
      </c>
      <c r="Q119" s="17">
        <v>25</v>
      </c>
      <c r="R119" s="14">
        <f t="shared" si="55"/>
        <v>1186250</v>
      </c>
      <c r="S119" s="15">
        <v>166667</v>
      </c>
      <c r="T119" s="15">
        <v>0</v>
      </c>
      <c r="U119" s="7">
        <f t="shared" si="29"/>
        <v>0</v>
      </c>
      <c r="V119" s="15">
        <v>8.3000000000000007</v>
      </c>
      <c r="W119" s="7">
        <f t="shared" si="30"/>
        <v>93983.352272727279</v>
      </c>
      <c r="X119" s="15">
        <v>0</v>
      </c>
      <c r="Y119" s="7">
        <f t="shared" si="28"/>
        <v>0</v>
      </c>
      <c r="Z119" s="15">
        <v>0</v>
      </c>
      <c r="AA119" s="7">
        <f t="shared" si="31"/>
        <v>0</v>
      </c>
      <c r="AB119" s="15">
        <v>0</v>
      </c>
      <c r="AC119" s="14">
        <f t="shared" si="32"/>
        <v>0</v>
      </c>
      <c r="AD119" s="14">
        <f t="shared" si="56"/>
        <v>8.3000000000000007</v>
      </c>
      <c r="AE119" s="14">
        <f t="shared" si="57"/>
        <v>93983.352272727279</v>
      </c>
      <c r="AF119" s="15">
        <v>0</v>
      </c>
      <c r="AG119" s="7">
        <f t="shared" si="33"/>
        <v>0</v>
      </c>
      <c r="AH119" s="15">
        <v>0</v>
      </c>
      <c r="AI119" s="7">
        <f t="shared" si="34"/>
        <v>0</v>
      </c>
      <c r="AJ119" s="15">
        <v>0</v>
      </c>
      <c r="AK119" s="14">
        <f t="shared" si="35"/>
        <v>0</v>
      </c>
      <c r="AL119" s="15">
        <v>0</v>
      </c>
      <c r="AM119" s="7">
        <f t="shared" si="36"/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54.07</v>
      </c>
      <c r="AS119" s="7">
        <f t="shared" si="37"/>
        <v>122450.11704545452</v>
      </c>
      <c r="AT119" s="14">
        <f t="shared" si="58"/>
        <v>54.07</v>
      </c>
      <c r="AU119" s="14">
        <f t="shared" si="58"/>
        <v>122450.11704545452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70000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217193</v>
      </c>
      <c r="BQ119" s="15">
        <v>35900</v>
      </c>
      <c r="BR119" s="14">
        <f t="shared" si="59"/>
        <v>253093</v>
      </c>
      <c r="BS119" s="15">
        <v>59000</v>
      </c>
      <c r="BT119" s="15">
        <v>0</v>
      </c>
      <c r="BU119" s="15">
        <v>0</v>
      </c>
      <c r="BV119" s="14">
        <f t="shared" si="60"/>
        <v>59000</v>
      </c>
      <c r="BW119" s="15">
        <v>136607</v>
      </c>
      <c r="BX119" s="15">
        <v>16394</v>
      </c>
      <c r="BY119" s="15">
        <v>136607</v>
      </c>
      <c r="BZ119" s="15">
        <v>63915</v>
      </c>
      <c r="CA119" s="15">
        <v>0</v>
      </c>
      <c r="CB119" s="15">
        <v>353523</v>
      </c>
      <c r="CC119" s="15">
        <v>2304966</v>
      </c>
      <c r="CD119" s="15">
        <v>138301</v>
      </c>
      <c r="CE119" s="15">
        <v>0</v>
      </c>
      <c r="CF119" s="14">
        <f t="shared" si="61"/>
        <v>2443267.4693181817</v>
      </c>
      <c r="CG119" s="18"/>
      <c r="CH119" s="16"/>
      <c r="CI119" s="17"/>
      <c r="CJ119" s="17"/>
    </row>
    <row r="120" spans="1:88" s="13" customFormat="1" x14ac:dyDescent="0.35">
      <c r="A120" s="13">
        <v>1001342198</v>
      </c>
      <c r="B120" s="17" t="s">
        <v>95</v>
      </c>
      <c r="C120" s="17" t="s">
        <v>83</v>
      </c>
      <c r="D120" s="17" t="s">
        <v>286</v>
      </c>
      <c r="E120" s="17">
        <v>6571</v>
      </c>
      <c r="F120" s="17" t="s">
        <v>88</v>
      </c>
      <c r="G120" s="17" t="s">
        <v>89</v>
      </c>
      <c r="H120" s="17">
        <v>1001342198</v>
      </c>
      <c r="I120" s="17" t="s">
        <v>224</v>
      </c>
      <c r="J120" s="17" t="s">
        <v>94</v>
      </c>
      <c r="K120" s="17">
        <v>0</v>
      </c>
      <c r="L120" s="17">
        <v>0</v>
      </c>
      <c r="M120" s="17" t="s">
        <v>96</v>
      </c>
      <c r="N120" s="19">
        <v>45812</v>
      </c>
      <c r="O120" s="19">
        <v>1</v>
      </c>
      <c r="P120" s="20">
        <v>1423500</v>
      </c>
      <c r="Q120" s="17">
        <v>28</v>
      </c>
      <c r="R120" s="14">
        <f t="shared" si="55"/>
        <v>1328600</v>
      </c>
      <c r="S120" s="15">
        <v>186667</v>
      </c>
      <c r="T120" s="15">
        <v>0</v>
      </c>
      <c r="U120" s="7">
        <f t="shared" si="29"/>
        <v>0</v>
      </c>
      <c r="V120" s="15">
        <v>9.77</v>
      </c>
      <c r="W120" s="7">
        <f t="shared" si="30"/>
        <v>110628.59659090909</v>
      </c>
      <c r="X120" s="15">
        <v>0</v>
      </c>
      <c r="Y120" s="7">
        <f t="shared" si="28"/>
        <v>0</v>
      </c>
      <c r="Z120" s="15">
        <v>0</v>
      </c>
      <c r="AA120" s="7">
        <f t="shared" si="31"/>
        <v>0</v>
      </c>
      <c r="AB120" s="15">
        <v>0</v>
      </c>
      <c r="AC120" s="14">
        <f t="shared" si="32"/>
        <v>0</v>
      </c>
      <c r="AD120" s="14">
        <f t="shared" si="56"/>
        <v>9.77</v>
      </c>
      <c r="AE120" s="14">
        <f t="shared" si="57"/>
        <v>110628.59659090909</v>
      </c>
      <c r="AF120" s="15">
        <v>0</v>
      </c>
      <c r="AG120" s="7">
        <f t="shared" si="33"/>
        <v>0</v>
      </c>
      <c r="AH120" s="15">
        <v>0</v>
      </c>
      <c r="AI120" s="7">
        <f t="shared" si="34"/>
        <v>0</v>
      </c>
      <c r="AJ120" s="15">
        <v>0</v>
      </c>
      <c r="AK120" s="14">
        <f t="shared" si="35"/>
        <v>0</v>
      </c>
      <c r="AL120" s="15">
        <v>0</v>
      </c>
      <c r="AM120" s="7">
        <f t="shared" si="36"/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64.98</v>
      </c>
      <c r="AS120" s="7">
        <f t="shared" si="37"/>
        <v>147157.5477272727</v>
      </c>
      <c r="AT120" s="14">
        <f t="shared" si="58"/>
        <v>64.98</v>
      </c>
      <c r="AU120" s="14">
        <f t="shared" si="58"/>
        <v>147157.5477272727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70000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214845</v>
      </c>
      <c r="BQ120" s="15">
        <v>40400</v>
      </c>
      <c r="BR120" s="14">
        <f t="shared" si="59"/>
        <v>255245</v>
      </c>
      <c r="BS120" s="15">
        <v>66300</v>
      </c>
      <c r="BT120" s="15">
        <v>0</v>
      </c>
      <c r="BU120" s="15">
        <v>0</v>
      </c>
      <c r="BV120" s="14">
        <f t="shared" si="60"/>
        <v>66300</v>
      </c>
      <c r="BW120" s="15">
        <v>153582</v>
      </c>
      <c r="BX120" s="15">
        <v>18431</v>
      </c>
      <c r="BY120" s="15">
        <v>153582</v>
      </c>
      <c r="BZ120" s="15">
        <v>71887</v>
      </c>
      <c r="CA120" s="15">
        <v>0</v>
      </c>
      <c r="CB120" s="15">
        <v>397482</v>
      </c>
      <c r="CC120" s="15">
        <v>2562081</v>
      </c>
      <c r="CD120" s="15">
        <v>153723</v>
      </c>
      <c r="CE120" s="15">
        <v>0</v>
      </c>
      <c r="CF120" s="14">
        <f t="shared" si="61"/>
        <v>2715803.144318182</v>
      </c>
      <c r="CG120" s="18"/>
      <c r="CH120" s="16"/>
      <c r="CI120" s="17"/>
      <c r="CJ120" s="17"/>
    </row>
    <row r="121" spans="1:88" s="13" customFormat="1" x14ac:dyDescent="0.35">
      <c r="A121" s="13">
        <v>1023028939</v>
      </c>
      <c r="B121" s="17" t="s">
        <v>95</v>
      </c>
      <c r="C121" s="17" t="s">
        <v>83</v>
      </c>
      <c r="D121" s="17" t="s">
        <v>286</v>
      </c>
      <c r="E121" s="17">
        <v>6571</v>
      </c>
      <c r="F121" s="17" t="s">
        <v>88</v>
      </c>
      <c r="G121" s="17" t="s">
        <v>89</v>
      </c>
      <c r="H121" s="17">
        <v>1023028939</v>
      </c>
      <c r="I121" s="17" t="s">
        <v>225</v>
      </c>
      <c r="J121" s="17" t="s">
        <v>94</v>
      </c>
      <c r="K121" s="17">
        <v>0</v>
      </c>
      <c r="L121" s="17">
        <v>0</v>
      </c>
      <c r="M121" s="17" t="s">
        <v>96</v>
      </c>
      <c r="N121" s="19">
        <v>45812</v>
      </c>
      <c r="O121" s="19">
        <v>1</v>
      </c>
      <c r="P121" s="20">
        <v>782925</v>
      </c>
      <c r="Q121" s="17">
        <v>30</v>
      </c>
      <c r="R121" s="14">
        <f t="shared" si="55"/>
        <v>782925</v>
      </c>
      <c r="S121" s="15">
        <v>200000</v>
      </c>
      <c r="T121" s="15">
        <v>0</v>
      </c>
      <c r="U121" s="7">
        <f t="shared" ref="U121:U122" si="67">+P121/110*T121*1.25</f>
        <v>0</v>
      </c>
      <c r="V121" s="15">
        <v>1.9</v>
      </c>
      <c r="W121" s="7">
        <f t="shared" ref="W121:W122" si="68">+P121/110*V121*1.75</f>
        <v>23665.6875</v>
      </c>
      <c r="X121" s="15">
        <v>0</v>
      </c>
      <c r="Y121" s="7">
        <f t="shared" si="28"/>
        <v>0</v>
      </c>
      <c r="Z121" s="15">
        <v>0</v>
      </c>
      <c r="AA121" s="7">
        <f t="shared" si="31"/>
        <v>0</v>
      </c>
      <c r="AB121" s="15">
        <v>0</v>
      </c>
      <c r="AC121" s="14">
        <f t="shared" si="32"/>
        <v>0</v>
      </c>
      <c r="AD121" s="14">
        <f t="shared" si="56"/>
        <v>1.9</v>
      </c>
      <c r="AE121" s="14">
        <f t="shared" si="57"/>
        <v>23665.6875</v>
      </c>
      <c r="AF121" s="15">
        <v>0</v>
      </c>
      <c r="AG121" s="7">
        <f t="shared" si="33"/>
        <v>0</v>
      </c>
      <c r="AH121" s="15">
        <v>0</v>
      </c>
      <c r="AI121" s="7">
        <f t="shared" si="34"/>
        <v>0</v>
      </c>
      <c r="AJ121" s="15">
        <v>0</v>
      </c>
      <c r="AK121" s="14">
        <f t="shared" si="35"/>
        <v>0</v>
      </c>
      <c r="AL121" s="15">
        <v>0</v>
      </c>
      <c r="AM121" s="7">
        <f t="shared" si="36"/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42.47</v>
      </c>
      <c r="AS121" s="7">
        <f t="shared" ref="AS121:AS122" si="69">+P121/110*AR121*0.35</f>
        <v>105798.07874999999</v>
      </c>
      <c r="AT121" s="14">
        <f t="shared" si="58"/>
        <v>42.47</v>
      </c>
      <c r="AU121" s="14">
        <f t="shared" si="58"/>
        <v>105798.07874999999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100000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170860</v>
      </c>
      <c r="BQ121" s="15">
        <v>34700</v>
      </c>
      <c r="BR121" s="14">
        <f t="shared" si="59"/>
        <v>205560</v>
      </c>
      <c r="BS121" s="15">
        <v>40500</v>
      </c>
      <c r="BT121" s="15">
        <v>0</v>
      </c>
      <c r="BU121" s="15">
        <v>0</v>
      </c>
      <c r="BV121" s="14">
        <f t="shared" si="60"/>
        <v>40500</v>
      </c>
      <c r="BW121" s="15">
        <v>101028</v>
      </c>
      <c r="BX121" s="15">
        <v>12124</v>
      </c>
      <c r="BY121" s="15">
        <v>101028</v>
      </c>
      <c r="BZ121" s="15">
        <v>43938</v>
      </c>
      <c r="CA121" s="15">
        <v>0</v>
      </c>
      <c r="CB121" s="15">
        <v>258118</v>
      </c>
      <c r="CC121" s="15">
        <v>1716568</v>
      </c>
      <c r="CD121" s="15">
        <v>102994</v>
      </c>
      <c r="CE121" s="15">
        <v>0</v>
      </c>
      <c r="CF121" s="14">
        <f t="shared" si="61"/>
        <v>1819560.7662499999</v>
      </c>
      <c r="CG121" s="18"/>
      <c r="CH121" s="16"/>
      <c r="CI121" s="17"/>
      <c r="CJ121" s="17"/>
    </row>
    <row r="122" spans="1:88" s="13" customFormat="1" x14ac:dyDescent="0.35">
      <c r="A122" s="13">
        <v>1024514979</v>
      </c>
      <c r="B122" s="17" t="s">
        <v>95</v>
      </c>
      <c r="C122" s="17" t="s">
        <v>83</v>
      </c>
      <c r="D122" s="17" t="s">
        <v>286</v>
      </c>
      <c r="E122" s="17">
        <v>6571</v>
      </c>
      <c r="F122" s="17" t="s">
        <v>88</v>
      </c>
      <c r="G122" s="17" t="s">
        <v>89</v>
      </c>
      <c r="H122" s="17">
        <v>1024514979</v>
      </c>
      <c r="I122" s="17" t="s">
        <v>226</v>
      </c>
      <c r="J122" s="17" t="s">
        <v>94</v>
      </c>
      <c r="K122" s="17">
        <v>0</v>
      </c>
      <c r="L122" s="17">
        <v>0</v>
      </c>
      <c r="M122" s="17" t="s">
        <v>96</v>
      </c>
      <c r="N122" s="19">
        <v>45812</v>
      </c>
      <c r="O122" s="19">
        <v>1</v>
      </c>
      <c r="P122" s="20">
        <v>782925</v>
      </c>
      <c r="Q122" s="17">
        <v>30</v>
      </c>
      <c r="R122" s="14">
        <f t="shared" si="55"/>
        <v>782925</v>
      </c>
      <c r="S122" s="15">
        <v>200000</v>
      </c>
      <c r="T122" s="15">
        <v>0</v>
      </c>
      <c r="U122" s="7">
        <f t="shared" si="67"/>
        <v>0</v>
      </c>
      <c r="V122" s="15">
        <v>0</v>
      </c>
      <c r="W122" s="7">
        <f t="shared" si="68"/>
        <v>0</v>
      </c>
      <c r="X122" s="15">
        <v>0</v>
      </c>
      <c r="Y122" s="7">
        <f t="shared" si="28"/>
        <v>0</v>
      </c>
      <c r="Z122" s="15">
        <v>0</v>
      </c>
      <c r="AA122" s="7">
        <f t="shared" si="31"/>
        <v>0</v>
      </c>
      <c r="AB122" s="15">
        <v>0</v>
      </c>
      <c r="AC122" s="14">
        <f t="shared" si="32"/>
        <v>0</v>
      </c>
      <c r="AD122" s="14">
        <f t="shared" si="56"/>
        <v>0</v>
      </c>
      <c r="AE122" s="14">
        <f t="shared" si="57"/>
        <v>0</v>
      </c>
      <c r="AF122" s="15">
        <v>0</v>
      </c>
      <c r="AG122" s="7">
        <f t="shared" si="33"/>
        <v>0</v>
      </c>
      <c r="AH122" s="15">
        <v>0</v>
      </c>
      <c r="AI122" s="7">
        <f t="shared" si="34"/>
        <v>0</v>
      </c>
      <c r="AJ122" s="15">
        <v>0</v>
      </c>
      <c r="AK122" s="14">
        <f t="shared" si="35"/>
        <v>0</v>
      </c>
      <c r="AL122" s="15">
        <v>0</v>
      </c>
      <c r="AM122" s="7">
        <f t="shared" si="36"/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45</v>
      </c>
      <c r="AS122" s="7">
        <f t="shared" si="69"/>
        <v>112100.625</v>
      </c>
      <c r="AT122" s="14">
        <f t="shared" si="58"/>
        <v>45</v>
      </c>
      <c r="AU122" s="14">
        <f t="shared" si="58"/>
        <v>112100.625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110000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170860</v>
      </c>
      <c r="BQ122" s="15">
        <v>34700</v>
      </c>
      <c r="BR122" s="14">
        <f t="shared" si="59"/>
        <v>205560</v>
      </c>
      <c r="BS122" s="15">
        <v>40300</v>
      </c>
      <c r="BT122" s="15">
        <v>0</v>
      </c>
      <c r="BU122" s="15">
        <v>0</v>
      </c>
      <c r="BV122" s="14">
        <f t="shared" si="60"/>
        <v>40300</v>
      </c>
      <c r="BW122" s="15">
        <v>100415</v>
      </c>
      <c r="BX122" s="15">
        <v>12050</v>
      </c>
      <c r="BY122" s="15">
        <v>100415</v>
      </c>
      <c r="BZ122" s="15">
        <v>43618</v>
      </c>
      <c r="CA122" s="15">
        <v>0</v>
      </c>
      <c r="CB122" s="15">
        <v>256498</v>
      </c>
      <c r="CC122" s="15">
        <v>1707385</v>
      </c>
      <c r="CD122" s="15">
        <v>102444</v>
      </c>
      <c r="CE122" s="15">
        <v>0</v>
      </c>
      <c r="CF122" s="14">
        <f t="shared" si="61"/>
        <v>1809827.625</v>
      </c>
      <c r="CG122" s="18"/>
      <c r="CH122" s="16"/>
      <c r="CI122" s="17"/>
      <c r="CJ122" s="17"/>
    </row>
    <row r="123" spans="1:88" s="13" customFormat="1" x14ac:dyDescent="0.35">
      <c r="A123" s="13">
        <v>1000269634</v>
      </c>
      <c r="B123" s="17" t="s">
        <v>95</v>
      </c>
      <c r="C123" s="17" t="s">
        <v>83</v>
      </c>
      <c r="D123" s="17" t="s">
        <v>286</v>
      </c>
      <c r="E123" s="17">
        <v>6571</v>
      </c>
      <c r="F123" s="17" t="s">
        <v>88</v>
      </c>
      <c r="G123" s="17" t="s">
        <v>89</v>
      </c>
      <c r="H123" s="17">
        <v>1000269634</v>
      </c>
      <c r="I123" s="17" t="s">
        <v>227</v>
      </c>
      <c r="J123" s="17" t="s">
        <v>94</v>
      </c>
      <c r="K123" s="17">
        <v>0</v>
      </c>
      <c r="L123" s="17">
        <v>0</v>
      </c>
      <c r="M123" s="17" t="s">
        <v>96</v>
      </c>
      <c r="N123" s="19">
        <v>45819</v>
      </c>
      <c r="O123" s="19">
        <v>1</v>
      </c>
      <c r="P123" s="20">
        <v>1423500</v>
      </c>
      <c r="Q123" s="17">
        <v>30</v>
      </c>
      <c r="R123" s="14">
        <f t="shared" si="55"/>
        <v>1423500</v>
      </c>
      <c r="S123" s="15">
        <v>200000</v>
      </c>
      <c r="T123" s="15">
        <v>0</v>
      </c>
      <c r="U123" s="7">
        <f t="shared" si="29"/>
        <v>0</v>
      </c>
      <c r="V123" s="15">
        <v>1</v>
      </c>
      <c r="W123" s="7">
        <f t="shared" si="30"/>
        <v>11323.295454545454</v>
      </c>
      <c r="X123" s="15">
        <v>0</v>
      </c>
      <c r="Y123" s="7">
        <f t="shared" si="28"/>
        <v>0</v>
      </c>
      <c r="Z123" s="15">
        <v>0</v>
      </c>
      <c r="AA123" s="7">
        <f t="shared" si="31"/>
        <v>0</v>
      </c>
      <c r="AB123" s="15">
        <v>0</v>
      </c>
      <c r="AC123" s="14">
        <f t="shared" si="32"/>
        <v>0</v>
      </c>
      <c r="AD123" s="14">
        <f t="shared" si="56"/>
        <v>1</v>
      </c>
      <c r="AE123" s="14">
        <f t="shared" si="57"/>
        <v>11323.295454545454</v>
      </c>
      <c r="AF123" s="15">
        <v>0</v>
      </c>
      <c r="AG123" s="7">
        <f t="shared" si="33"/>
        <v>0</v>
      </c>
      <c r="AH123" s="15">
        <v>0</v>
      </c>
      <c r="AI123" s="7">
        <f t="shared" si="34"/>
        <v>0</v>
      </c>
      <c r="AJ123" s="15">
        <v>0</v>
      </c>
      <c r="AK123" s="14">
        <f t="shared" si="35"/>
        <v>0</v>
      </c>
      <c r="AL123" s="15">
        <v>0</v>
      </c>
      <c r="AM123" s="7">
        <f t="shared" si="36"/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73.77</v>
      </c>
      <c r="AS123" s="7">
        <f t="shared" si="37"/>
        <v>167063.90113636359</v>
      </c>
      <c r="AT123" s="14">
        <f t="shared" si="58"/>
        <v>73.77</v>
      </c>
      <c r="AU123" s="14">
        <f t="shared" si="58"/>
        <v>167063.90113636359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110000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205525</v>
      </c>
      <c r="BQ123" s="15">
        <v>41800</v>
      </c>
      <c r="BR123" s="14">
        <f t="shared" si="59"/>
        <v>247325</v>
      </c>
      <c r="BS123" s="15">
        <v>68500</v>
      </c>
      <c r="BT123" s="15">
        <v>0</v>
      </c>
      <c r="BU123" s="15">
        <v>0</v>
      </c>
      <c r="BV123" s="14">
        <f t="shared" si="60"/>
        <v>68500</v>
      </c>
      <c r="BW123" s="15">
        <v>159318</v>
      </c>
      <c r="BX123" s="15">
        <v>19119</v>
      </c>
      <c r="BY123" s="15">
        <v>159318</v>
      </c>
      <c r="BZ123" s="15">
        <v>74296</v>
      </c>
      <c r="CA123" s="15">
        <v>0</v>
      </c>
      <c r="CB123" s="15">
        <v>412051</v>
      </c>
      <c r="CC123" s="15">
        <v>2639763</v>
      </c>
      <c r="CD123" s="15">
        <v>158388</v>
      </c>
      <c r="CE123" s="15">
        <v>0</v>
      </c>
      <c r="CF123" s="14">
        <f t="shared" si="61"/>
        <v>2798151.1965909088</v>
      </c>
      <c r="CG123" s="18"/>
      <c r="CH123" s="16"/>
      <c r="CI123" s="17"/>
      <c r="CJ123" s="17"/>
    </row>
    <row r="124" spans="1:88" s="13" customFormat="1" x14ac:dyDescent="0.35">
      <c r="A124" s="13">
        <v>1005893354</v>
      </c>
      <c r="B124" s="17" t="s">
        <v>95</v>
      </c>
      <c r="C124" s="17" t="s">
        <v>83</v>
      </c>
      <c r="D124" s="17" t="s">
        <v>286</v>
      </c>
      <c r="E124" s="17">
        <v>1980</v>
      </c>
      <c r="F124" s="17" t="s">
        <v>92</v>
      </c>
      <c r="G124" s="17" t="s">
        <v>93</v>
      </c>
      <c r="H124" s="17">
        <v>1005893354</v>
      </c>
      <c r="I124" s="17" t="s">
        <v>228</v>
      </c>
      <c r="J124" s="17" t="s">
        <v>94</v>
      </c>
      <c r="K124" s="17">
        <v>0</v>
      </c>
      <c r="L124" s="17">
        <v>0</v>
      </c>
      <c r="M124" s="17" t="s">
        <v>96</v>
      </c>
      <c r="N124" s="19">
        <v>45819</v>
      </c>
      <c r="O124" s="19">
        <v>1</v>
      </c>
      <c r="P124" s="20">
        <v>782925</v>
      </c>
      <c r="Q124" s="17">
        <v>28</v>
      </c>
      <c r="R124" s="14">
        <f t="shared" si="55"/>
        <v>730730</v>
      </c>
      <c r="S124" s="15">
        <v>186667</v>
      </c>
      <c r="T124" s="15">
        <v>6.71</v>
      </c>
      <c r="U124" s="7">
        <f t="shared" ref="U124:U126" si="70">+P124/110*T124*1.25</f>
        <v>59698.03125</v>
      </c>
      <c r="V124" s="15">
        <v>0</v>
      </c>
      <c r="W124" s="7">
        <f t="shared" ref="W124:W126" si="71">+P124/110*V124*1.75</f>
        <v>0</v>
      </c>
      <c r="X124" s="15">
        <v>0</v>
      </c>
      <c r="Y124" s="7">
        <f t="shared" si="28"/>
        <v>0</v>
      </c>
      <c r="Z124" s="15">
        <v>0</v>
      </c>
      <c r="AA124" s="7">
        <f t="shared" si="31"/>
        <v>0</v>
      </c>
      <c r="AB124" s="15">
        <v>0</v>
      </c>
      <c r="AC124" s="14">
        <f t="shared" si="32"/>
        <v>0</v>
      </c>
      <c r="AD124" s="14">
        <f t="shared" si="56"/>
        <v>6.71</v>
      </c>
      <c r="AE124" s="14">
        <f t="shared" si="57"/>
        <v>59698.03125</v>
      </c>
      <c r="AF124" s="15">
        <v>0</v>
      </c>
      <c r="AG124" s="7">
        <f t="shared" si="33"/>
        <v>0</v>
      </c>
      <c r="AH124" s="15">
        <v>0</v>
      </c>
      <c r="AI124" s="7">
        <f t="shared" si="34"/>
        <v>0</v>
      </c>
      <c r="AJ124" s="15">
        <v>0</v>
      </c>
      <c r="AK124" s="14">
        <f t="shared" si="35"/>
        <v>0</v>
      </c>
      <c r="AL124" s="15">
        <v>0</v>
      </c>
      <c r="AM124" s="7">
        <f t="shared" si="36"/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3.42</v>
      </c>
      <c r="AS124" s="7">
        <f t="shared" ref="AS124:AS126" si="72">+P124/110*AR124*0.35</f>
        <v>8519.6474999999991</v>
      </c>
      <c r="AT124" s="14">
        <f t="shared" si="58"/>
        <v>3.42</v>
      </c>
      <c r="AU124" s="14">
        <f t="shared" si="58"/>
        <v>8519.6474999999991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251422</v>
      </c>
      <c r="BD124" s="15">
        <v>0</v>
      </c>
      <c r="BE124" s="15">
        <v>317284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174656</v>
      </c>
      <c r="BQ124" s="15">
        <v>32400</v>
      </c>
      <c r="BR124" s="14">
        <f t="shared" si="59"/>
        <v>207056</v>
      </c>
      <c r="BS124" s="15">
        <v>32000</v>
      </c>
      <c r="BT124" s="15">
        <v>0</v>
      </c>
      <c r="BU124" s="15">
        <v>0</v>
      </c>
      <c r="BV124" s="14">
        <f t="shared" si="60"/>
        <v>32000</v>
      </c>
      <c r="BW124" s="15">
        <v>82131</v>
      </c>
      <c r="BX124" s="15">
        <v>9856</v>
      </c>
      <c r="BY124" s="15">
        <v>82131</v>
      </c>
      <c r="BZ124" s="15">
        <v>34674</v>
      </c>
      <c r="CA124" s="15">
        <v>0</v>
      </c>
      <c r="CB124" s="15">
        <v>208792</v>
      </c>
      <c r="CC124" s="15">
        <v>2002170</v>
      </c>
      <c r="CD124" s="15">
        <v>120132</v>
      </c>
      <c r="CE124" s="15">
        <v>0</v>
      </c>
      <c r="CF124" s="14">
        <f t="shared" si="61"/>
        <v>2122300.67875</v>
      </c>
      <c r="CG124" s="18"/>
      <c r="CH124" s="16"/>
      <c r="CI124" s="17"/>
      <c r="CJ124" s="17"/>
    </row>
    <row r="125" spans="1:88" s="13" customFormat="1" x14ac:dyDescent="0.35">
      <c r="A125" s="13">
        <v>1006201330</v>
      </c>
      <c r="B125" s="17" t="s">
        <v>95</v>
      </c>
      <c r="C125" s="17" t="s">
        <v>83</v>
      </c>
      <c r="D125" s="17" t="s">
        <v>286</v>
      </c>
      <c r="E125" s="17">
        <v>1980</v>
      </c>
      <c r="F125" s="17" t="s">
        <v>92</v>
      </c>
      <c r="G125" s="17" t="s">
        <v>93</v>
      </c>
      <c r="H125" s="17">
        <v>1006201330</v>
      </c>
      <c r="I125" s="17" t="s">
        <v>229</v>
      </c>
      <c r="J125" s="17" t="s">
        <v>94</v>
      </c>
      <c r="K125" s="17">
        <v>0</v>
      </c>
      <c r="L125" s="17">
        <v>0</v>
      </c>
      <c r="M125" s="17" t="s">
        <v>96</v>
      </c>
      <c r="N125" s="19">
        <v>45819</v>
      </c>
      <c r="O125" s="19">
        <v>1</v>
      </c>
      <c r="P125" s="20">
        <v>782925</v>
      </c>
      <c r="Q125" s="17">
        <v>30</v>
      </c>
      <c r="R125" s="14">
        <f t="shared" si="55"/>
        <v>782925</v>
      </c>
      <c r="S125" s="15">
        <v>200000</v>
      </c>
      <c r="T125" s="15">
        <v>11.59</v>
      </c>
      <c r="U125" s="7">
        <f t="shared" si="70"/>
        <v>103114.78125</v>
      </c>
      <c r="V125" s="15">
        <v>0</v>
      </c>
      <c r="W125" s="7">
        <f t="shared" si="71"/>
        <v>0</v>
      </c>
      <c r="X125" s="15">
        <v>0</v>
      </c>
      <c r="Y125" s="7">
        <f t="shared" si="28"/>
        <v>0</v>
      </c>
      <c r="Z125" s="15">
        <v>0</v>
      </c>
      <c r="AA125" s="7">
        <f t="shared" si="31"/>
        <v>0</v>
      </c>
      <c r="AB125" s="15">
        <v>0</v>
      </c>
      <c r="AC125" s="14">
        <f t="shared" si="32"/>
        <v>0</v>
      </c>
      <c r="AD125" s="14">
        <f t="shared" si="56"/>
        <v>11.59</v>
      </c>
      <c r="AE125" s="14">
        <f t="shared" si="57"/>
        <v>103114.78125</v>
      </c>
      <c r="AF125" s="15">
        <v>0</v>
      </c>
      <c r="AG125" s="7">
        <f t="shared" si="33"/>
        <v>0</v>
      </c>
      <c r="AH125" s="15">
        <v>0</v>
      </c>
      <c r="AI125" s="7">
        <f t="shared" si="34"/>
        <v>0</v>
      </c>
      <c r="AJ125" s="15">
        <v>0</v>
      </c>
      <c r="AK125" s="14">
        <f t="shared" si="35"/>
        <v>0</v>
      </c>
      <c r="AL125" s="15">
        <v>0</v>
      </c>
      <c r="AM125" s="7">
        <f t="shared" si="36"/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5</v>
      </c>
      <c r="AS125" s="7">
        <f t="shared" si="72"/>
        <v>12455.625</v>
      </c>
      <c r="AT125" s="14">
        <f t="shared" si="58"/>
        <v>5</v>
      </c>
      <c r="AU125" s="14">
        <f t="shared" si="58"/>
        <v>12455.625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260092</v>
      </c>
      <c r="BD125" s="15">
        <v>0</v>
      </c>
      <c r="BE125" s="15">
        <v>328224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170860</v>
      </c>
      <c r="BQ125" s="15">
        <v>34700</v>
      </c>
      <c r="BR125" s="14">
        <f t="shared" si="59"/>
        <v>205560</v>
      </c>
      <c r="BS125" s="15">
        <v>36000</v>
      </c>
      <c r="BT125" s="15">
        <v>0</v>
      </c>
      <c r="BU125" s="15">
        <v>0</v>
      </c>
      <c r="BV125" s="14">
        <f t="shared" si="60"/>
        <v>36000</v>
      </c>
      <c r="BW125" s="15">
        <v>91538</v>
      </c>
      <c r="BX125" s="15">
        <v>10985</v>
      </c>
      <c r="BY125" s="15">
        <v>91538</v>
      </c>
      <c r="BZ125" s="15">
        <v>38994</v>
      </c>
      <c r="CA125" s="15">
        <v>0</v>
      </c>
      <c r="CB125" s="15">
        <v>233055</v>
      </c>
      <c r="CC125" s="15">
        <v>2161428</v>
      </c>
      <c r="CD125" s="15">
        <v>129686</v>
      </c>
      <c r="CE125" s="15">
        <v>0</v>
      </c>
      <c r="CF125" s="14">
        <f t="shared" si="61"/>
        <v>2291112.40625</v>
      </c>
      <c r="CG125" s="18"/>
      <c r="CH125" s="16"/>
      <c r="CI125" s="17"/>
      <c r="CJ125" s="17"/>
    </row>
    <row r="126" spans="1:88" s="13" customFormat="1" x14ac:dyDescent="0.35">
      <c r="A126" s="13">
        <v>1014214369</v>
      </c>
      <c r="B126" s="17" t="s">
        <v>95</v>
      </c>
      <c r="C126" s="17" t="s">
        <v>83</v>
      </c>
      <c r="D126" s="17" t="s">
        <v>286</v>
      </c>
      <c r="E126" s="17">
        <v>6571</v>
      </c>
      <c r="F126" s="17" t="s">
        <v>88</v>
      </c>
      <c r="G126" s="17" t="s">
        <v>89</v>
      </c>
      <c r="H126" s="17">
        <v>1014214369</v>
      </c>
      <c r="I126" s="17" t="s">
        <v>230</v>
      </c>
      <c r="J126" s="17" t="s">
        <v>94</v>
      </c>
      <c r="K126" s="17">
        <v>0</v>
      </c>
      <c r="L126" s="17">
        <v>0</v>
      </c>
      <c r="M126" s="17" t="s">
        <v>96</v>
      </c>
      <c r="N126" s="19">
        <v>45819</v>
      </c>
      <c r="O126" s="19">
        <v>45854</v>
      </c>
      <c r="P126" s="20">
        <v>782925</v>
      </c>
      <c r="Q126" s="17">
        <v>0</v>
      </c>
      <c r="R126" s="14">
        <f t="shared" si="55"/>
        <v>0</v>
      </c>
      <c r="S126" s="15">
        <v>0</v>
      </c>
      <c r="T126" s="15">
        <v>0</v>
      </c>
      <c r="U126" s="7">
        <f t="shared" si="70"/>
        <v>0</v>
      </c>
      <c r="V126" s="15">
        <v>0</v>
      </c>
      <c r="W126" s="7">
        <f t="shared" si="71"/>
        <v>0</v>
      </c>
      <c r="X126" s="15">
        <v>0</v>
      </c>
      <c r="Y126" s="7">
        <f t="shared" si="28"/>
        <v>0</v>
      </c>
      <c r="Z126" s="15">
        <v>0</v>
      </c>
      <c r="AA126" s="7">
        <f t="shared" si="31"/>
        <v>0</v>
      </c>
      <c r="AB126" s="15">
        <v>0</v>
      </c>
      <c r="AC126" s="14">
        <f t="shared" si="32"/>
        <v>0</v>
      </c>
      <c r="AD126" s="14">
        <f t="shared" si="56"/>
        <v>0</v>
      </c>
      <c r="AE126" s="14">
        <f t="shared" si="57"/>
        <v>0</v>
      </c>
      <c r="AF126" s="15">
        <v>0</v>
      </c>
      <c r="AG126" s="7">
        <f t="shared" si="33"/>
        <v>0</v>
      </c>
      <c r="AH126" s="15">
        <v>0</v>
      </c>
      <c r="AI126" s="7">
        <f t="shared" si="34"/>
        <v>0</v>
      </c>
      <c r="AJ126" s="15">
        <v>0</v>
      </c>
      <c r="AK126" s="14">
        <f t="shared" si="35"/>
        <v>0</v>
      </c>
      <c r="AL126" s="15">
        <v>0</v>
      </c>
      <c r="AM126" s="7">
        <f t="shared" si="36"/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83.73</v>
      </c>
      <c r="AS126" s="7">
        <f t="shared" si="72"/>
        <v>208581.89624999999</v>
      </c>
      <c r="AT126" s="14">
        <f t="shared" si="58"/>
        <v>83.73</v>
      </c>
      <c r="AU126" s="14">
        <f t="shared" si="58"/>
        <v>208581.89624999999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4">
        <f t="shared" si="59"/>
        <v>0</v>
      </c>
      <c r="BS126" s="15">
        <v>8400</v>
      </c>
      <c r="BT126" s="15">
        <v>0</v>
      </c>
      <c r="BU126" s="15">
        <v>0</v>
      </c>
      <c r="BV126" s="14">
        <f t="shared" si="60"/>
        <v>8400</v>
      </c>
      <c r="BW126" s="15">
        <v>17381</v>
      </c>
      <c r="BX126" s="15">
        <v>2086</v>
      </c>
      <c r="BY126" s="15">
        <v>17381</v>
      </c>
      <c r="BZ126" s="15">
        <v>9053</v>
      </c>
      <c r="CA126" s="15">
        <v>0</v>
      </c>
      <c r="CB126" s="15">
        <v>45901</v>
      </c>
      <c r="CC126" s="15">
        <v>262883</v>
      </c>
      <c r="CD126" s="15">
        <v>15773</v>
      </c>
      <c r="CE126" s="15">
        <v>0</v>
      </c>
      <c r="CF126" s="14">
        <f t="shared" si="61"/>
        <v>278655.89624999999</v>
      </c>
      <c r="CG126" s="18"/>
      <c r="CH126" s="16"/>
      <c r="CI126" s="17"/>
      <c r="CJ126" s="17"/>
    </row>
    <row r="127" spans="1:88" s="13" customFormat="1" x14ac:dyDescent="0.35">
      <c r="A127" s="13">
        <v>1233504214</v>
      </c>
      <c r="B127" s="17" t="s">
        <v>95</v>
      </c>
      <c r="C127" s="17" t="s">
        <v>83</v>
      </c>
      <c r="D127" s="17" t="s">
        <v>286</v>
      </c>
      <c r="E127" s="17">
        <v>6571</v>
      </c>
      <c r="F127" s="17" t="s">
        <v>88</v>
      </c>
      <c r="G127" s="17" t="s">
        <v>89</v>
      </c>
      <c r="H127" s="17">
        <v>1233504214</v>
      </c>
      <c r="I127" s="17" t="s">
        <v>231</v>
      </c>
      <c r="J127" s="17" t="s">
        <v>94</v>
      </c>
      <c r="K127" s="17">
        <v>0</v>
      </c>
      <c r="L127" s="17">
        <v>0</v>
      </c>
      <c r="M127" s="17" t="s">
        <v>96</v>
      </c>
      <c r="N127" s="19">
        <v>45819</v>
      </c>
      <c r="O127" s="19">
        <v>1</v>
      </c>
      <c r="P127" s="20">
        <v>1423500</v>
      </c>
      <c r="Q127" s="17">
        <v>30</v>
      </c>
      <c r="R127" s="14">
        <f t="shared" si="55"/>
        <v>1423500</v>
      </c>
      <c r="S127" s="15">
        <v>200000</v>
      </c>
      <c r="T127" s="15">
        <v>4.5999999999999996</v>
      </c>
      <c r="U127" s="7">
        <f t="shared" si="29"/>
        <v>37205.113636363632</v>
      </c>
      <c r="V127" s="15">
        <v>1</v>
      </c>
      <c r="W127" s="7">
        <f t="shared" si="30"/>
        <v>11323.295454545454</v>
      </c>
      <c r="X127" s="15">
        <v>0</v>
      </c>
      <c r="Y127" s="7">
        <f t="shared" si="28"/>
        <v>0</v>
      </c>
      <c r="Z127" s="15">
        <v>0</v>
      </c>
      <c r="AA127" s="7">
        <f t="shared" si="31"/>
        <v>0</v>
      </c>
      <c r="AB127" s="15">
        <v>0</v>
      </c>
      <c r="AC127" s="14">
        <f t="shared" si="32"/>
        <v>0</v>
      </c>
      <c r="AD127" s="14">
        <f t="shared" si="56"/>
        <v>5.6</v>
      </c>
      <c r="AE127" s="14">
        <f t="shared" si="57"/>
        <v>48528.409090909088</v>
      </c>
      <c r="AF127" s="15">
        <v>0</v>
      </c>
      <c r="AG127" s="7">
        <f t="shared" si="33"/>
        <v>0</v>
      </c>
      <c r="AH127" s="15">
        <v>0</v>
      </c>
      <c r="AI127" s="7">
        <f t="shared" si="34"/>
        <v>0</v>
      </c>
      <c r="AJ127" s="15">
        <v>0</v>
      </c>
      <c r="AK127" s="14">
        <f t="shared" si="35"/>
        <v>0</v>
      </c>
      <c r="AL127" s="15">
        <v>0</v>
      </c>
      <c r="AM127" s="7">
        <f t="shared" si="36"/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7">
        <f t="shared" si="37"/>
        <v>0</v>
      </c>
      <c r="AT127" s="14">
        <f t="shared" si="58"/>
        <v>0</v>
      </c>
      <c r="AU127" s="14">
        <f t="shared" si="58"/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110000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189919</v>
      </c>
      <c r="BQ127" s="15">
        <v>38600</v>
      </c>
      <c r="BR127" s="14">
        <f t="shared" si="59"/>
        <v>228519</v>
      </c>
      <c r="BS127" s="15">
        <v>63300</v>
      </c>
      <c r="BT127" s="15">
        <v>0</v>
      </c>
      <c r="BU127" s="15">
        <v>0</v>
      </c>
      <c r="BV127" s="14">
        <f t="shared" si="60"/>
        <v>63300</v>
      </c>
      <c r="BW127" s="15">
        <v>148496</v>
      </c>
      <c r="BX127" s="15">
        <v>17820</v>
      </c>
      <c r="BY127" s="15">
        <v>148496</v>
      </c>
      <c r="BZ127" s="15">
        <v>68660</v>
      </c>
      <c r="CA127" s="15">
        <v>0</v>
      </c>
      <c r="CB127" s="15">
        <v>383472</v>
      </c>
      <c r="CC127" s="15">
        <v>2457319</v>
      </c>
      <c r="CD127" s="15">
        <v>147439</v>
      </c>
      <c r="CE127" s="15">
        <v>0</v>
      </c>
      <c r="CF127" s="14">
        <f t="shared" si="61"/>
        <v>2604758.4090909092</v>
      </c>
      <c r="CG127" s="18"/>
      <c r="CH127" s="16"/>
      <c r="CI127" s="17"/>
      <c r="CJ127" s="17"/>
    </row>
    <row r="128" spans="1:88" s="13" customFormat="1" x14ac:dyDescent="0.35">
      <c r="A128" s="13">
        <v>1038542288</v>
      </c>
      <c r="B128" s="17" t="s">
        <v>97</v>
      </c>
      <c r="C128" s="17" t="s">
        <v>83</v>
      </c>
      <c r="D128" s="17" t="s">
        <v>286</v>
      </c>
      <c r="E128" s="17">
        <v>5421</v>
      </c>
      <c r="F128" s="17" t="s">
        <v>86</v>
      </c>
      <c r="G128" s="17" t="s">
        <v>87</v>
      </c>
      <c r="H128" s="17">
        <v>1038542288</v>
      </c>
      <c r="I128" s="17" t="s">
        <v>232</v>
      </c>
      <c r="J128" s="17" t="s">
        <v>94</v>
      </c>
      <c r="K128" s="17">
        <v>0</v>
      </c>
      <c r="L128" s="17">
        <v>0</v>
      </c>
      <c r="M128" s="17" t="s">
        <v>96</v>
      </c>
      <c r="N128" s="19">
        <v>45842</v>
      </c>
      <c r="O128" s="19">
        <v>1</v>
      </c>
      <c r="P128" s="20">
        <v>1423500</v>
      </c>
      <c r="Q128" s="17">
        <v>30</v>
      </c>
      <c r="R128" s="14">
        <f t="shared" si="55"/>
        <v>1423500</v>
      </c>
      <c r="S128" s="15">
        <v>200000</v>
      </c>
      <c r="T128" s="15">
        <v>0</v>
      </c>
      <c r="U128" s="7">
        <f t="shared" si="29"/>
        <v>0</v>
      </c>
      <c r="V128" s="15">
        <v>0</v>
      </c>
      <c r="W128" s="7">
        <f t="shared" si="30"/>
        <v>0</v>
      </c>
      <c r="X128" s="15">
        <v>0</v>
      </c>
      <c r="Y128" s="7">
        <f t="shared" si="28"/>
        <v>0</v>
      </c>
      <c r="Z128" s="15">
        <v>0</v>
      </c>
      <c r="AA128" s="7">
        <f t="shared" si="31"/>
        <v>0</v>
      </c>
      <c r="AB128" s="15">
        <v>0</v>
      </c>
      <c r="AC128" s="14">
        <f t="shared" si="32"/>
        <v>0</v>
      </c>
      <c r="AD128" s="14">
        <f t="shared" si="56"/>
        <v>0</v>
      </c>
      <c r="AE128" s="14">
        <f t="shared" si="57"/>
        <v>0</v>
      </c>
      <c r="AF128" s="15">
        <v>0</v>
      </c>
      <c r="AG128" s="7">
        <f t="shared" si="33"/>
        <v>0</v>
      </c>
      <c r="AH128" s="15">
        <v>0</v>
      </c>
      <c r="AI128" s="7">
        <f t="shared" si="34"/>
        <v>0</v>
      </c>
      <c r="AJ128" s="15">
        <v>0</v>
      </c>
      <c r="AK128" s="14">
        <f t="shared" si="35"/>
        <v>0</v>
      </c>
      <c r="AL128" s="15">
        <v>0</v>
      </c>
      <c r="AM128" s="7">
        <f t="shared" si="36"/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7">
        <f t="shared" si="37"/>
        <v>0</v>
      </c>
      <c r="AT128" s="14">
        <f t="shared" si="58"/>
        <v>0</v>
      </c>
      <c r="AU128" s="14">
        <f t="shared" si="58"/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234083</v>
      </c>
      <c r="BD128" s="15">
        <v>0</v>
      </c>
      <c r="BE128" s="15">
        <v>236996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95101</v>
      </c>
      <c r="BL128" s="15">
        <v>0</v>
      </c>
      <c r="BM128" s="15">
        <v>0</v>
      </c>
      <c r="BN128" s="15">
        <v>0</v>
      </c>
      <c r="BO128" s="15">
        <v>0</v>
      </c>
      <c r="BP128" s="15">
        <v>170820</v>
      </c>
      <c r="BQ128" s="15">
        <v>14861.34</v>
      </c>
      <c r="BR128" s="14">
        <f t="shared" si="59"/>
        <v>185681.34</v>
      </c>
      <c r="BS128" s="15">
        <v>56940</v>
      </c>
      <c r="BT128" s="15">
        <v>0</v>
      </c>
      <c r="BU128" s="15">
        <v>0</v>
      </c>
      <c r="BV128" s="14">
        <f t="shared" si="60"/>
        <v>56940</v>
      </c>
      <c r="BW128" s="15">
        <v>135286.255</v>
      </c>
      <c r="BX128" s="15">
        <v>16235</v>
      </c>
      <c r="BY128" s="15">
        <v>135286.255</v>
      </c>
      <c r="BZ128" s="15">
        <v>61779.9</v>
      </c>
      <c r="CA128" s="15">
        <v>0</v>
      </c>
      <c r="CB128" s="15">
        <v>348587.41000000003</v>
      </c>
      <c r="CC128" s="15">
        <v>2685787.75</v>
      </c>
      <c r="CD128" s="15">
        <v>141004</v>
      </c>
      <c r="CE128" s="15">
        <v>0</v>
      </c>
      <c r="CF128" s="14">
        <f t="shared" si="61"/>
        <v>2921892.75</v>
      </c>
      <c r="CG128" s="18"/>
      <c r="CH128" s="16"/>
      <c r="CI128" s="17"/>
      <c r="CJ128" s="17"/>
    </row>
    <row r="129" spans="1:88" s="13" customFormat="1" x14ac:dyDescent="0.35">
      <c r="A129" s="13">
        <v>1098665081</v>
      </c>
      <c r="B129" s="17" t="s">
        <v>97</v>
      </c>
      <c r="C129" s="17" t="s">
        <v>83</v>
      </c>
      <c r="D129" s="17" t="s">
        <v>286</v>
      </c>
      <c r="E129" s="17">
        <v>5641</v>
      </c>
      <c r="F129" s="17" t="s">
        <v>98</v>
      </c>
      <c r="G129" s="17" t="s">
        <v>99</v>
      </c>
      <c r="H129" s="17">
        <v>1098665081</v>
      </c>
      <c r="I129" s="17" t="s">
        <v>233</v>
      </c>
      <c r="J129" s="17" t="s">
        <v>94</v>
      </c>
      <c r="K129" s="17">
        <v>0</v>
      </c>
      <c r="L129" s="17">
        <v>0</v>
      </c>
      <c r="M129" s="17" t="s">
        <v>96</v>
      </c>
      <c r="N129" s="19">
        <v>45828</v>
      </c>
      <c r="O129" s="19">
        <v>1</v>
      </c>
      <c r="P129" s="20">
        <v>782924.99965959787</v>
      </c>
      <c r="Q129" s="17">
        <v>15</v>
      </c>
      <c r="R129" s="14">
        <f t="shared" si="55"/>
        <v>391462.49982979894</v>
      </c>
      <c r="S129" s="15">
        <v>100000</v>
      </c>
      <c r="T129" s="15">
        <v>0</v>
      </c>
      <c r="U129" s="7">
        <f t="shared" si="29"/>
        <v>0</v>
      </c>
      <c r="V129" s="15">
        <v>0</v>
      </c>
      <c r="W129" s="7">
        <f t="shared" si="30"/>
        <v>0</v>
      </c>
      <c r="X129" s="15">
        <v>0</v>
      </c>
      <c r="Y129" s="7">
        <f t="shared" si="28"/>
        <v>0</v>
      </c>
      <c r="Z129" s="15">
        <v>0</v>
      </c>
      <c r="AA129" s="7">
        <f t="shared" si="31"/>
        <v>0</v>
      </c>
      <c r="AB129" s="15">
        <v>0</v>
      </c>
      <c r="AC129" s="14">
        <f t="shared" si="32"/>
        <v>0</v>
      </c>
      <c r="AD129" s="14">
        <f t="shared" si="56"/>
        <v>0</v>
      </c>
      <c r="AE129" s="14">
        <f t="shared" si="57"/>
        <v>0</v>
      </c>
      <c r="AF129" s="15">
        <v>0</v>
      </c>
      <c r="AG129" s="7">
        <f t="shared" si="33"/>
        <v>0</v>
      </c>
      <c r="AH129" s="15">
        <v>0</v>
      </c>
      <c r="AI129" s="7">
        <f t="shared" si="34"/>
        <v>0</v>
      </c>
      <c r="AJ129" s="15">
        <v>0</v>
      </c>
      <c r="AK129" s="14">
        <f t="shared" si="35"/>
        <v>0</v>
      </c>
      <c r="AL129" s="15">
        <v>0</v>
      </c>
      <c r="AM129" s="7">
        <f t="shared" si="36"/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7">
        <f t="shared" si="37"/>
        <v>0</v>
      </c>
      <c r="AT129" s="14">
        <f t="shared" si="58"/>
        <v>0</v>
      </c>
      <c r="AU129" s="14">
        <f t="shared" si="58"/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93951</v>
      </c>
      <c r="BQ129" s="15">
        <v>8173.7370000000001</v>
      </c>
      <c r="BR129" s="14">
        <f t="shared" si="59"/>
        <v>102124.73699999999</v>
      </c>
      <c r="BS129" s="15">
        <v>31317</v>
      </c>
      <c r="BT129" s="15">
        <v>0</v>
      </c>
      <c r="BU129" s="15">
        <v>0</v>
      </c>
      <c r="BV129" s="14">
        <f t="shared" si="60"/>
        <v>31317</v>
      </c>
      <c r="BW129" s="15">
        <v>65241.140250000004</v>
      </c>
      <c r="BX129" s="15">
        <v>7829.25</v>
      </c>
      <c r="BY129" s="15">
        <v>65241.140250000004</v>
      </c>
      <c r="BZ129" s="15">
        <v>33978.945</v>
      </c>
      <c r="CA129" s="15">
        <v>0</v>
      </c>
      <c r="CB129" s="15">
        <v>172290.4755</v>
      </c>
      <c r="CC129" s="15">
        <v>797194.71232979884</v>
      </c>
      <c r="CD129" s="15">
        <v>41853</v>
      </c>
      <c r="CE129" s="15">
        <v>0</v>
      </c>
      <c r="CF129" s="14">
        <f t="shared" si="61"/>
        <v>839047.71232979896</v>
      </c>
      <c r="CG129" s="18"/>
      <c r="CH129" s="16"/>
      <c r="CI129" s="17"/>
      <c r="CJ129" s="17"/>
    </row>
    <row r="130" spans="1:88" s="13" customFormat="1" x14ac:dyDescent="0.35">
      <c r="A130" s="13">
        <v>1102383341</v>
      </c>
      <c r="B130" s="17" t="s">
        <v>97</v>
      </c>
      <c r="C130" s="17" t="s">
        <v>83</v>
      </c>
      <c r="D130" s="17" t="s">
        <v>286</v>
      </c>
      <c r="E130" s="17">
        <v>5421</v>
      </c>
      <c r="F130" s="17" t="s">
        <v>86</v>
      </c>
      <c r="G130" s="17" t="s">
        <v>87</v>
      </c>
      <c r="H130" s="17">
        <v>1102383341</v>
      </c>
      <c r="I130" s="17" t="s">
        <v>234</v>
      </c>
      <c r="J130" s="17" t="s">
        <v>94</v>
      </c>
      <c r="K130" s="17">
        <v>0</v>
      </c>
      <c r="L130" s="17">
        <v>0</v>
      </c>
      <c r="M130" s="17" t="s">
        <v>96</v>
      </c>
      <c r="N130" s="19">
        <v>45849</v>
      </c>
      <c r="O130" s="19">
        <v>45862</v>
      </c>
      <c r="P130" s="20">
        <v>1423500</v>
      </c>
      <c r="Q130" s="17">
        <v>-6</v>
      </c>
      <c r="R130" s="14">
        <f t="shared" si="55"/>
        <v>-284700</v>
      </c>
      <c r="S130" s="15">
        <v>-40000</v>
      </c>
      <c r="T130" s="15">
        <v>0</v>
      </c>
      <c r="U130" s="7">
        <f t="shared" si="29"/>
        <v>0</v>
      </c>
      <c r="V130" s="15">
        <v>0.97</v>
      </c>
      <c r="W130" s="7">
        <f t="shared" si="30"/>
        <v>10983.596590909088</v>
      </c>
      <c r="X130" s="15">
        <v>0</v>
      </c>
      <c r="Y130" s="7">
        <f t="shared" ref="Y130:Y193" si="73">+P130/235*X130*1.75</f>
        <v>0</v>
      </c>
      <c r="Z130" s="15">
        <v>0</v>
      </c>
      <c r="AA130" s="7">
        <f t="shared" si="31"/>
        <v>0</v>
      </c>
      <c r="AB130" s="15">
        <v>0</v>
      </c>
      <c r="AC130" s="14">
        <f t="shared" si="32"/>
        <v>0</v>
      </c>
      <c r="AD130" s="14">
        <f t="shared" si="56"/>
        <v>0.97</v>
      </c>
      <c r="AE130" s="14">
        <f t="shared" si="57"/>
        <v>10983.596590909088</v>
      </c>
      <c r="AF130" s="15">
        <v>0</v>
      </c>
      <c r="AG130" s="7">
        <f t="shared" si="33"/>
        <v>0</v>
      </c>
      <c r="AH130" s="15">
        <v>0</v>
      </c>
      <c r="AI130" s="7">
        <f t="shared" si="34"/>
        <v>0</v>
      </c>
      <c r="AJ130" s="15">
        <v>0</v>
      </c>
      <c r="AK130" s="14">
        <f t="shared" si="35"/>
        <v>0</v>
      </c>
      <c r="AL130" s="15">
        <v>0</v>
      </c>
      <c r="AM130" s="7">
        <f t="shared" si="36"/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24.07</v>
      </c>
      <c r="AS130" s="7">
        <f t="shared" si="37"/>
        <v>54510.344318181815</v>
      </c>
      <c r="AT130" s="14">
        <f t="shared" si="58"/>
        <v>24.07</v>
      </c>
      <c r="AU130" s="14">
        <f t="shared" si="58"/>
        <v>54510.344318181815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121736</v>
      </c>
      <c r="BD130" s="15">
        <v>0</v>
      </c>
      <c r="BE130" s="15">
        <v>122886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95101</v>
      </c>
      <c r="BL130" s="15">
        <v>0</v>
      </c>
      <c r="BM130" s="15">
        <v>0</v>
      </c>
      <c r="BN130" s="15">
        <v>0</v>
      </c>
      <c r="BO130" s="15">
        <v>0</v>
      </c>
      <c r="BP130" s="15">
        <v>-26304.727090909088</v>
      </c>
      <c r="BQ130" s="15">
        <v>-2288.5112569090907</v>
      </c>
      <c r="BR130" s="14">
        <f t="shared" si="59"/>
        <v>-28593.23834781818</v>
      </c>
      <c r="BS130" s="15">
        <v>-8768.2423636363637</v>
      </c>
      <c r="BT130" s="15">
        <v>0</v>
      </c>
      <c r="BU130" s="15">
        <v>0</v>
      </c>
      <c r="BV130" s="14">
        <f t="shared" si="60"/>
        <v>-8768.2423636363637</v>
      </c>
      <c r="BW130" s="15">
        <v>-21599.640904045453</v>
      </c>
      <c r="BX130" s="15">
        <v>-2592.0605909090909</v>
      </c>
      <c r="BY130" s="15">
        <v>-21599.640904045453</v>
      </c>
      <c r="BZ130" s="15">
        <v>-9513.5429645454551</v>
      </c>
      <c r="CA130" s="15">
        <v>0</v>
      </c>
      <c r="CB130" s="15">
        <v>-55304.885363545458</v>
      </c>
      <c r="CC130" s="15">
        <v>-107250.42516590908</v>
      </c>
      <c r="CD130" s="15">
        <v>-5631</v>
      </c>
      <c r="CE130" s="15">
        <v>0</v>
      </c>
      <c r="CF130" s="14">
        <f t="shared" si="61"/>
        <v>-17780.425165909081</v>
      </c>
      <c r="CG130" s="18"/>
      <c r="CH130" s="16"/>
      <c r="CI130" s="17"/>
      <c r="CJ130" s="15"/>
    </row>
    <row r="131" spans="1:88" s="13" customFormat="1" x14ac:dyDescent="0.35">
      <c r="A131" s="13">
        <v>1073712476</v>
      </c>
      <c r="B131" s="17" t="s">
        <v>95</v>
      </c>
      <c r="C131" s="17" t="s">
        <v>83</v>
      </c>
      <c r="D131" s="17" t="s">
        <v>286</v>
      </c>
      <c r="E131" s="17">
        <v>6571</v>
      </c>
      <c r="F131" s="17" t="s">
        <v>88</v>
      </c>
      <c r="G131" s="17" t="s">
        <v>89</v>
      </c>
      <c r="H131" s="17">
        <v>1073712476</v>
      </c>
      <c r="I131" s="17" t="s">
        <v>236</v>
      </c>
      <c r="J131" s="17" t="s">
        <v>94</v>
      </c>
      <c r="K131" s="17">
        <v>0</v>
      </c>
      <c r="L131" s="17">
        <v>0</v>
      </c>
      <c r="M131" s="17" t="s">
        <v>96</v>
      </c>
      <c r="N131" s="19">
        <v>45828</v>
      </c>
      <c r="O131" s="19">
        <v>1</v>
      </c>
      <c r="P131" s="20">
        <v>782925</v>
      </c>
      <c r="Q131" s="17">
        <v>24</v>
      </c>
      <c r="R131" s="14">
        <f t="shared" si="55"/>
        <v>626340</v>
      </c>
      <c r="S131" s="15">
        <v>160000</v>
      </c>
      <c r="T131" s="15">
        <v>0.5</v>
      </c>
      <c r="U131" s="7">
        <f>+P131/110*T131*1.25</f>
        <v>4448.4375</v>
      </c>
      <c r="V131" s="15">
        <v>0</v>
      </c>
      <c r="W131" s="7">
        <f>+P131/110*V131*1.75</f>
        <v>0</v>
      </c>
      <c r="X131" s="15">
        <v>0</v>
      </c>
      <c r="Y131" s="7">
        <f t="shared" si="73"/>
        <v>0</v>
      </c>
      <c r="Z131" s="15">
        <v>0</v>
      </c>
      <c r="AA131" s="7">
        <f t="shared" ref="AA131:AA194" si="74">+P131/220*Z131*2.5</f>
        <v>0</v>
      </c>
      <c r="AB131" s="15">
        <v>0</v>
      </c>
      <c r="AC131" s="14">
        <f t="shared" ref="AC131:AC194" si="75">+P131/220*AB131*2</f>
        <v>0</v>
      </c>
      <c r="AD131" s="14">
        <f t="shared" si="56"/>
        <v>0.5</v>
      </c>
      <c r="AE131" s="14">
        <f t="shared" si="57"/>
        <v>4448.4375</v>
      </c>
      <c r="AF131" s="15">
        <v>0</v>
      </c>
      <c r="AG131" s="7">
        <f t="shared" ref="AG131:AG194" si="76">+P131/220*AF131*1.8</f>
        <v>0</v>
      </c>
      <c r="AH131" s="15">
        <v>0</v>
      </c>
      <c r="AI131" s="7">
        <f t="shared" ref="AI131:AI194" si="77">+P131/220*AH131*1.8</f>
        <v>0</v>
      </c>
      <c r="AJ131" s="15">
        <v>0</v>
      </c>
      <c r="AK131" s="14">
        <f t="shared" ref="AK131:AK194" si="78">+P131/220*AJ131*2.1</f>
        <v>0</v>
      </c>
      <c r="AL131" s="15">
        <v>0</v>
      </c>
      <c r="AM131" s="7">
        <f t="shared" ref="AM131:AM194" si="79">+P131/220*AL131*2.1</f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65.22</v>
      </c>
      <c r="AS131" s="7">
        <f>+P131/110*AR131*0.35</f>
        <v>162471.17249999999</v>
      </c>
      <c r="AT131" s="14">
        <f t="shared" si="58"/>
        <v>65.22</v>
      </c>
      <c r="AU131" s="14">
        <f t="shared" si="58"/>
        <v>162471.17249999999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10000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182348</v>
      </c>
      <c r="BQ131" s="15">
        <v>27800</v>
      </c>
      <c r="BR131" s="14">
        <f t="shared" si="59"/>
        <v>210148</v>
      </c>
      <c r="BS131" s="15">
        <v>32200</v>
      </c>
      <c r="BT131" s="15">
        <v>0</v>
      </c>
      <c r="BU131" s="15">
        <v>0</v>
      </c>
      <c r="BV131" s="14">
        <f t="shared" si="60"/>
        <v>32200</v>
      </c>
      <c r="BW131" s="15">
        <v>80268</v>
      </c>
      <c r="BX131" s="15">
        <v>9633</v>
      </c>
      <c r="BY131" s="15">
        <v>80268</v>
      </c>
      <c r="BZ131" s="15">
        <v>34862</v>
      </c>
      <c r="CA131" s="15">
        <v>0</v>
      </c>
      <c r="CB131" s="15">
        <v>205031</v>
      </c>
      <c r="CC131" s="15">
        <v>1410639</v>
      </c>
      <c r="CD131" s="15">
        <v>84641</v>
      </c>
      <c r="CE131" s="15">
        <v>0</v>
      </c>
      <c r="CF131" s="14">
        <f t="shared" si="61"/>
        <v>1495279.6099999999</v>
      </c>
      <c r="CG131" s="18"/>
      <c r="CH131" s="16"/>
      <c r="CI131" s="17"/>
      <c r="CJ131" s="17"/>
    </row>
    <row r="132" spans="1:88" s="13" customFormat="1" x14ac:dyDescent="0.35">
      <c r="A132" s="13">
        <v>1082939957</v>
      </c>
      <c r="B132" s="17" t="s">
        <v>95</v>
      </c>
      <c r="C132" s="17" t="s">
        <v>83</v>
      </c>
      <c r="D132" s="17" t="s">
        <v>286</v>
      </c>
      <c r="E132" s="17">
        <v>6571</v>
      </c>
      <c r="F132" s="17" t="s">
        <v>88</v>
      </c>
      <c r="G132" s="17" t="s">
        <v>89</v>
      </c>
      <c r="H132" s="17">
        <v>1082939957</v>
      </c>
      <c r="I132" s="17" t="s">
        <v>237</v>
      </c>
      <c r="J132" s="17" t="s">
        <v>94</v>
      </c>
      <c r="K132" s="17">
        <v>0</v>
      </c>
      <c r="L132" s="17">
        <v>0</v>
      </c>
      <c r="M132" s="17" t="s">
        <v>96</v>
      </c>
      <c r="N132" s="19">
        <v>45828</v>
      </c>
      <c r="O132" s="19">
        <v>45834</v>
      </c>
      <c r="P132" s="20">
        <v>1423500</v>
      </c>
      <c r="Q132" s="17">
        <v>0</v>
      </c>
      <c r="R132" s="14">
        <f t="shared" si="55"/>
        <v>0</v>
      </c>
      <c r="S132" s="15">
        <v>0</v>
      </c>
      <c r="T132" s="15">
        <v>0</v>
      </c>
      <c r="U132" s="7">
        <f t="shared" ref="U132:U134" si="80">+P132/230*T132*1.25</f>
        <v>0</v>
      </c>
      <c r="V132" s="15">
        <v>0</v>
      </c>
      <c r="W132" s="7">
        <f t="shared" ref="W132:W134" si="81">+P132/230*V132*1.75</f>
        <v>0</v>
      </c>
      <c r="X132" s="15">
        <v>0</v>
      </c>
      <c r="Y132" s="7">
        <f t="shared" si="73"/>
        <v>0</v>
      </c>
      <c r="Z132" s="15">
        <v>0</v>
      </c>
      <c r="AA132" s="7">
        <f t="shared" si="74"/>
        <v>0</v>
      </c>
      <c r="AB132" s="15">
        <v>0</v>
      </c>
      <c r="AC132" s="14">
        <f t="shared" si="75"/>
        <v>0</v>
      </c>
      <c r="AD132" s="14">
        <f t="shared" si="56"/>
        <v>0</v>
      </c>
      <c r="AE132" s="14">
        <f t="shared" si="57"/>
        <v>0</v>
      </c>
      <c r="AF132" s="15">
        <v>0</v>
      </c>
      <c r="AG132" s="7">
        <f t="shared" si="76"/>
        <v>0</v>
      </c>
      <c r="AH132" s="15">
        <v>0</v>
      </c>
      <c r="AI132" s="7">
        <f t="shared" si="77"/>
        <v>0</v>
      </c>
      <c r="AJ132" s="15">
        <v>0</v>
      </c>
      <c r="AK132" s="14">
        <f t="shared" si="78"/>
        <v>0</v>
      </c>
      <c r="AL132" s="15">
        <v>0</v>
      </c>
      <c r="AM132" s="7">
        <f t="shared" si="79"/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6</v>
      </c>
      <c r="AS132" s="7">
        <f t="shared" ref="AS132:AS134" si="82">+P132/230*AR132*0.35</f>
        <v>12997.173913043478</v>
      </c>
      <c r="AT132" s="14">
        <f t="shared" si="58"/>
        <v>6</v>
      </c>
      <c r="AU132" s="14">
        <f t="shared" si="58"/>
        <v>12997.173913043478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4">
        <f t="shared" si="59"/>
        <v>0</v>
      </c>
      <c r="BS132" s="15">
        <v>0</v>
      </c>
      <c r="BT132" s="15">
        <v>0</v>
      </c>
      <c r="BU132" s="15">
        <v>0</v>
      </c>
      <c r="BV132" s="14">
        <f t="shared" si="60"/>
        <v>0</v>
      </c>
      <c r="BW132" s="15">
        <v>1083</v>
      </c>
      <c r="BX132" s="15">
        <v>130</v>
      </c>
      <c r="BY132" s="15">
        <v>1083</v>
      </c>
      <c r="BZ132" s="15">
        <v>564</v>
      </c>
      <c r="CA132" s="15">
        <v>0</v>
      </c>
      <c r="CB132" s="15">
        <v>2860</v>
      </c>
      <c r="CC132" s="15">
        <v>15857</v>
      </c>
      <c r="CD132" s="15">
        <v>952</v>
      </c>
      <c r="CE132" s="15">
        <v>0</v>
      </c>
      <c r="CF132" s="14">
        <f t="shared" si="61"/>
        <v>16809.17391304348</v>
      </c>
      <c r="CG132" s="18"/>
      <c r="CH132" s="16"/>
      <c r="CI132" s="17"/>
      <c r="CJ132" s="17"/>
    </row>
    <row r="133" spans="1:88" s="13" customFormat="1" x14ac:dyDescent="0.35">
      <c r="A133" s="13">
        <v>1000517244</v>
      </c>
      <c r="B133" s="17" t="s">
        <v>95</v>
      </c>
      <c r="C133" s="17" t="s">
        <v>83</v>
      </c>
      <c r="D133" s="17" t="s">
        <v>286</v>
      </c>
      <c r="E133" s="17">
        <v>6563</v>
      </c>
      <c r="F133" s="17" t="s">
        <v>84</v>
      </c>
      <c r="G133" s="17" t="s">
        <v>85</v>
      </c>
      <c r="H133" s="17">
        <v>1000517244</v>
      </c>
      <c r="I133" s="17" t="s">
        <v>288</v>
      </c>
      <c r="J133" s="17" t="s">
        <v>94</v>
      </c>
      <c r="K133" s="17">
        <v>0</v>
      </c>
      <c r="L133" s="17">
        <v>0</v>
      </c>
      <c r="M133" s="17" t="s">
        <v>96</v>
      </c>
      <c r="N133" s="19">
        <v>45832</v>
      </c>
      <c r="O133" s="19">
        <v>45838</v>
      </c>
      <c r="P133" s="20">
        <v>1423500</v>
      </c>
      <c r="Q133" s="17">
        <v>0</v>
      </c>
      <c r="R133" s="14">
        <f t="shared" si="55"/>
        <v>0</v>
      </c>
      <c r="S133" s="15">
        <v>0</v>
      </c>
      <c r="T133" s="15">
        <v>0</v>
      </c>
      <c r="U133" s="7">
        <f t="shared" si="80"/>
        <v>0</v>
      </c>
      <c r="V133" s="15">
        <v>0</v>
      </c>
      <c r="W133" s="7">
        <f t="shared" si="81"/>
        <v>0</v>
      </c>
      <c r="X133" s="15">
        <v>0</v>
      </c>
      <c r="Y133" s="7">
        <f t="shared" si="73"/>
        <v>0</v>
      </c>
      <c r="Z133" s="15">
        <v>0</v>
      </c>
      <c r="AA133" s="7">
        <f t="shared" si="74"/>
        <v>0</v>
      </c>
      <c r="AB133" s="15">
        <v>0</v>
      </c>
      <c r="AC133" s="14">
        <f t="shared" si="75"/>
        <v>0</v>
      </c>
      <c r="AD133" s="14">
        <f t="shared" si="56"/>
        <v>0</v>
      </c>
      <c r="AE133" s="14">
        <f t="shared" si="57"/>
        <v>0</v>
      </c>
      <c r="AF133" s="15">
        <v>0</v>
      </c>
      <c r="AG133" s="7">
        <f t="shared" si="76"/>
        <v>0</v>
      </c>
      <c r="AH133" s="15">
        <v>0</v>
      </c>
      <c r="AI133" s="7">
        <f t="shared" si="77"/>
        <v>0</v>
      </c>
      <c r="AJ133" s="15">
        <v>0</v>
      </c>
      <c r="AK133" s="14">
        <f t="shared" si="78"/>
        <v>0</v>
      </c>
      <c r="AL133" s="15">
        <v>0</v>
      </c>
      <c r="AM133" s="7">
        <f t="shared" si="79"/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4</v>
      </c>
      <c r="AS133" s="7">
        <f t="shared" si="82"/>
        <v>8664.782608695652</v>
      </c>
      <c r="AT133" s="14">
        <f t="shared" si="58"/>
        <v>4</v>
      </c>
      <c r="AU133" s="14">
        <f t="shared" si="58"/>
        <v>8664.782608695652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4">
        <f t="shared" si="59"/>
        <v>0</v>
      </c>
      <c r="BS133" s="15">
        <v>300</v>
      </c>
      <c r="BT133" s="15">
        <v>0</v>
      </c>
      <c r="BU133" s="15">
        <v>0</v>
      </c>
      <c r="BV133" s="14">
        <f t="shared" si="60"/>
        <v>300</v>
      </c>
      <c r="BW133" s="15">
        <v>722</v>
      </c>
      <c r="BX133" s="15">
        <v>87</v>
      </c>
      <c r="BY133" s="15">
        <v>722</v>
      </c>
      <c r="BZ133" s="15">
        <v>376</v>
      </c>
      <c r="CA133" s="15">
        <v>0</v>
      </c>
      <c r="CB133" s="15">
        <v>1907</v>
      </c>
      <c r="CC133" s="15">
        <v>10872</v>
      </c>
      <c r="CD133" s="15">
        <v>652</v>
      </c>
      <c r="CE133" s="15">
        <v>0</v>
      </c>
      <c r="CF133" s="14">
        <f t="shared" si="61"/>
        <v>11523.782608695652</v>
      </c>
      <c r="CG133" s="18"/>
      <c r="CH133" s="16"/>
      <c r="CI133" s="17"/>
      <c r="CJ133" s="17"/>
    </row>
    <row r="134" spans="1:88" s="13" customFormat="1" x14ac:dyDescent="0.35">
      <c r="A134" s="13">
        <v>1003688530</v>
      </c>
      <c r="B134" s="17" t="s">
        <v>95</v>
      </c>
      <c r="C134" s="17" t="s">
        <v>83</v>
      </c>
      <c r="D134" s="17" t="s">
        <v>286</v>
      </c>
      <c r="E134" s="17">
        <v>6563</v>
      </c>
      <c r="F134" s="17" t="s">
        <v>84</v>
      </c>
      <c r="G134" s="17" t="s">
        <v>85</v>
      </c>
      <c r="H134" s="17">
        <v>1003688530</v>
      </c>
      <c r="I134" s="17" t="s">
        <v>238</v>
      </c>
      <c r="J134" s="17" t="s">
        <v>94</v>
      </c>
      <c r="K134" s="17">
        <v>0</v>
      </c>
      <c r="L134" s="17">
        <v>0</v>
      </c>
      <c r="M134" s="17" t="s">
        <v>96</v>
      </c>
      <c r="N134" s="19">
        <v>45832</v>
      </c>
      <c r="O134" s="19">
        <v>45836</v>
      </c>
      <c r="P134" s="20">
        <v>1423500</v>
      </c>
      <c r="Q134" s="17">
        <v>0</v>
      </c>
      <c r="R134" s="14">
        <f t="shared" si="55"/>
        <v>0</v>
      </c>
      <c r="S134" s="15">
        <v>0</v>
      </c>
      <c r="T134" s="15">
        <v>0</v>
      </c>
      <c r="U134" s="7">
        <f t="shared" si="80"/>
        <v>0</v>
      </c>
      <c r="V134" s="15">
        <v>0</v>
      </c>
      <c r="W134" s="7">
        <f t="shared" si="81"/>
        <v>0</v>
      </c>
      <c r="X134" s="15">
        <v>0</v>
      </c>
      <c r="Y134" s="7">
        <f t="shared" si="73"/>
        <v>0</v>
      </c>
      <c r="Z134" s="15">
        <v>0</v>
      </c>
      <c r="AA134" s="7">
        <f t="shared" si="74"/>
        <v>0</v>
      </c>
      <c r="AB134" s="15">
        <v>0</v>
      </c>
      <c r="AC134" s="14">
        <f t="shared" si="75"/>
        <v>0</v>
      </c>
      <c r="AD134" s="14">
        <f t="shared" si="56"/>
        <v>0</v>
      </c>
      <c r="AE134" s="14">
        <f t="shared" si="57"/>
        <v>0</v>
      </c>
      <c r="AF134" s="15">
        <v>0</v>
      </c>
      <c r="AG134" s="7">
        <f t="shared" si="76"/>
        <v>0</v>
      </c>
      <c r="AH134" s="15">
        <v>0</v>
      </c>
      <c r="AI134" s="7">
        <f t="shared" si="77"/>
        <v>0</v>
      </c>
      <c r="AJ134" s="15">
        <v>0</v>
      </c>
      <c r="AK134" s="14">
        <f t="shared" si="78"/>
        <v>0</v>
      </c>
      <c r="AL134" s="15">
        <v>0</v>
      </c>
      <c r="AM134" s="7">
        <f t="shared" si="79"/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4</v>
      </c>
      <c r="AS134" s="7">
        <f t="shared" si="82"/>
        <v>8664.782608695652</v>
      </c>
      <c r="AT134" s="14">
        <f t="shared" si="58"/>
        <v>4</v>
      </c>
      <c r="AU134" s="14">
        <f t="shared" si="58"/>
        <v>8664.782608695652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4">
        <f t="shared" si="59"/>
        <v>0</v>
      </c>
      <c r="BS134" s="15">
        <v>0</v>
      </c>
      <c r="BT134" s="15">
        <v>0</v>
      </c>
      <c r="BU134" s="15">
        <v>0</v>
      </c>
      <c r="BV134" s="14">
        <f t="shared" si="60"/>
        <v>0</v>
      </c>
      <c r="BW134" s="15">
        <v>722</v>
      </c>
      <c r="BX134" s="15">
        <v>86</v>
      </c>
      <c r="BY134" s="15">
        <v>722</v>
      </c>
      <c r="BZ134" s="15">
        <v>375</v>
      </c>
      <c r="CA134" s="15">
        <v>0</v>
      </c>
      <c r="CB134" s="15">
        <v>1905</v>
      </c>
      <c r="CC134" s="15">
        <v>10570</v>
      </c>
      <c r="CD134" s="15">
        <v>634</v>
      </c>
      <c r="CE134" s="15">
        <v>0</v>
      </c>
      <c r="CF134" s="14">
        <f t="shared" si="61"/>
        <v>11203.782608695652</v>
      </c>
      <c r="CG134" s="18"/>
      <c r="CH134" s="16"/>
      <c r="CI134" s="17"/>
      <c r="CJ134" s="17"/>
    </row>
    <row r="135" spans="1:88" s="13" customFormat="1" x14ac:dyDescent="0.35">
      <c r="A135" s="13">
        <v>1006579511</v>
      </c>
      <c r="B135" s="17" t="s">
        <v>95</v>
      </c>
      <c r="C135" s="17" t="s">
        <v>83</v>
      </c>
      <c r="D135" s="17" t="s">
        <v>286</v>
      </c>
      <c r="E135" s="17">
        <v>6563</v>
      </c>
      <c r="F135" s="17" t="s">
        <v>84</v>
      </c>
      <c r="G135" s="17" t="s">
        <v>85</v>
      </c>
      <c r="H135" s="17">
        <v>1006579511</v>
      </c>
      <c r="I135" s="17" t="s">
        <v>239</v>
      </c>
      <c r="J135" s="17" t="s">
        <v>94</v>
      </c>
      <c r="K135" s="17">
        <v>0</v>
      </c>
      <c r="L135" s="17">
        <v>0</v>
      </c>
      <c r="M135" s="17" t="s">
        <v>96</v>
      </c>
      <c r="N135" s="19">
        <v>45832</v>
      </c>
      <c r="O135" s="19">
        <v>1</v>
      </c>
      <c r="P135" s="20">
        <v>1423500</v>
      </c>
      <c r="Q135" s="17">
        <v>30</v>
      </c>
      <c r="R135" s="14">
        <f t="shared" si="55"/>
        <v>1423500</v>
      </c>
      <c r="S135" s="15">
        <v>193333</v>
      </c>
      <c r="T135" s="15">
        <v>0</v>
      </c>
      <c r="U135" s="7">
        <f t="shared" ref="U135:U194" si="83">+P135/220*T135*1.25</f>
        <v>0</v>
      </c>
      <c r="V135" s="15">
        <v>4</v>
      </c>
      <c r="W135" s="7">
        <f t="shared" ref="W135:W194" si="84">+P135/220*V135*1.75</f>
        <v>45293.181818181816</v>
      </c>
      <c r="X135" s="15">
        <v>0</v>
      </c>
      <c r="Y135" s="7">
        <f t="shared" si="73"/>
        <v>0</v>
      </c>
      <c r="Z135" s="15">
        <v>0</v>
      </c>
      <c r="AA135" s="7">
        <f t="shared" si="74"/>
        <v>0</v>
      </c>
      <c r="AB135" s="15">
        <v>0</v>
      </c>
      <c r="AC135" s="14">
        <f t="shared" si="75"/>
        <v>0</v>
      </c>
      <c r="AD135" s="14">
        <f t="shared" si="56"/>
        <v>4</v>
      </c>
      <c r="AE135" s="14">
        <f t="shared" si="57"/>
        <v>45293.181818181816</v>
      </c>
      <c r="AF135" s="15">
        <v>7</v>
      </c>
      <c r="AG135" s="7">
        <f t="shared" si="76"/>
        <v>81527.727272727265</v>
      </c>
      <c r="AH135" s="15">
        <v>0</v>
      </c>
      <c r="AI135" s="7">
        <f t="shared" si="77"/>
        <v>0</v>
      </c>
      <c r="AJ135" s="15">
        <v>3</v>
      </c>
      <c r="AK135" s="14">
        <f t="shared" si="78"/>
        <v>40763.86363636364</v>
      </c>
      <c r="AL135" s="15">
        <v>0</v>
      </c>
      <c r="AM135" s="7">
        <f t="shared" si="79"/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53.5</v>
      </c>
      <c r="AS135" s="7">
        <f t="shared" ref="AS135:AS194" si="85">+P135/220*AR135*0.35</f>
        <v>121159.26136363635</v>
      </c>
      <c r="AT135" s="14">
        <f t="shared" si="58"/>
        <v>63.5</v>
      </c>
      <c r="AU135" s="14">
        <f t="shared" si="58"/>
        <v>243450.85227272726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205759</v>
      </c>
      <c r="BQ135" s="15">
        <v>40600</v>
      </c>
      <c r="BR135" s="14">
        <f t="shared" si="59"/>
        <v>246359</v>
      </c>
      <c r="BS135" s="15">
        <v>68600</v>
      </c>
      <c r="BT135" s="15">
        <v>0</v>
      </c>
      <c r="BU135" s="15">
        <v>0</v>
      </c>
      <c r="BV135" s="14">
        <f t="shared" si="60"/>
        <v>68600</v>
      </c>
      <c r="BW135" s="15">
        <v>158873</v>
      </c>
      <c r="BX135" s="15">
        <v>19065</v>
      </c>
      <c r="BY135" s="15">
        <v>158873</v>
      </c>
      <c r="BZ135" s="15">
        <v>74353</v>
      </c>
      <c r="CA135" s="15">
        <v>0</v>
      </c>
      <c r="CB135" s="15">
        <v>411164</v>
      </c>
      <c r="CC135" s="15">
        <v>2632670</v>
      </c>
      <c r="CD135" s="16">
        <v>158933.96590909082</v>
      </c>
      <c r="CE135" s="15">
        <v>0</v>
      </c>
      <c r="CF135" s="14">
        <f t="shared" si="61"/>
        <v>2790634</v>
      </c>
      <c r="CG135" s="18"/>
      <c r="CH135" s="16"/>
      <c r="CI135" s="22"/>
      <c r="CJ135" s="17"/>
    </row>
    <row r="136" spans="1:88" s="13" customFormat="1" x14ac:dyDescent="0.35">
      <c r="A136" s="13">
        <v>1070955612</v>
      </c>
      <c r="B136" s="17" t="s">
        <v>95</v>
      </c>
      <c r="C136" s="17" t="s">
        <v>83</v>
      </c>
      <c r="D136" s="17" t="s">
        <v>286</v>
      </c>
      <c r="E136" s="17">
        <v>6563</v>
      </c>
      <c r="F136" s="17" t="s">
        <v>84</v>
      </c>
      <c r="G136" s="17" t="s">
        <v>85</v>
      </c>
      <c r="H136" s="17">
        <v>1070955612</v>
      </c>
      <c r="I136" s="17" t="s">
        <v>240</v>
      </c>
      <c r="J136" s="17" t="s">
        <v>94</v>
      </c>
      <c r="K136" s="17">
        <v>0</v>
      </c>
      <c r="L136" s="17">
        <v>0</v>
      </c>
      <c r="M136" s="17" t="s">
        <v>96</v>
      </c>
      <c r="N136" s="19">
        <v>45832</v>
      </c>
      <c r="O136" s="19">
        <v>1</v>
      </c>
      <c r="P136" s="20">
        <v>1423500</v>
      </c>
      <c r="Q136" s="17">
        <v>30</v>
      </c>
      <c r="R136" s="14">
        <f t="shared" si="55"/>
        <v>1423500</v>
      </c>
      <c r="S136" s="15">
        <v>200000</v>
      </c>
      <c r="T136" s="15">
        <v>0</v>
      </c>
      <c r="U136" s="7">
        <f t="shared" si="83"/>
        <v>0</v>
      </c>
      <c r="V136" s="15">
        <v>14.49</v>
      </c>
      <c r="W136" s="7">
        <f t="shared" si="84"/>
        <v>164074.55113636362</v>
      </c>
      <c r="X136" s="15">
        <v>0</v>
      </c>
      <c r="Y136" s="7">
        <f t="shared" si="73"/>
        <v>0</v>
      </c>
      <c r="Z136" s="15">
        <v>0</v>
      </c>
      <c r="AA136" s="7">
        <f t="shared" si="74"/>
        <v>0</v>
      </c>
      <c r="AB136" s="15">
        <v>0</v>
      </c>
      <c r="AC136" s="14">
        <f t="shared" si="75"/>
        <v>0</v>
      </c>
      <c r="AD136" s="14">
        <f t="shared" si="56"/>
        <v>14.49</v>
      </c>
      <c r="AE136" s="14">
        <f t="shared" si="57"/>
        <v>164074.55113636362</v>
      </c>
      <c r="AF136" s="15">
        <v>0</v>
      </c>
      <c r="AG136" s="7">
        <f t="shared" si="76"/>
        <v>0</v>
      </c>
      <c r="AH136" s="15">
        <v>0</v>
      </c>
      <c r="AI136" s="7">
        <f t="shared" si="77"/>
        <v>0</v>
      </c>
      <c r="AJ136" s="15">
        <v>4</v>
      </c>
      <c r="AK136" s="14">
        <f t="shared" si="78"/>
        <v>54351.818181818184</v>
      </c>
      <c r="AL136" s="15">
        <v>0</v>
      </c>
      <c r="AM136" s="7">
        <f t="shared" si="79"/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94.5</v>
      </c>
      <c r="AS136" s="7">
        <f t="shared" si="85"/>
        <v>214010.28409090906</v>
      </c>
      <c r="AT136" s="14">
        <f t="shared" si="58"/>
        <v>98.5</v>
      </c>
      <c r="AU136" s="14">
        <f t="shared" si="58"/>
        <v>268362.10227272724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113880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236556</v>
      </c>
      <c r="BQ136" s="15">
        <v>48100</v>
      </c>
      <c r="BR136" s="14">
        <f t="shared" si="59"/>
        <v>284656</v>
      </c>
      <c r="BS136" s="15">
        <v>78900</v>
      </c>
      <c r="BT136" s="15">
        <v>0</v>
      </c>
      <c r="BU136" s="15">
        <v>0</v>
      </c>
      <c r="BV136" s="14">
        <f t="shared" si="60"/>
        <v>78900</v>
      </c>
      <c r="BW136" s="15">
        <v>180919</v>
      </c>
      <c r="BX136" s="15">
        <v>21711</v>
      </c>
      <c r="BY136" s="15">
        <v>180919</v>
      </c>
      <c r="BZ136" s="15">
        <v>85546</v>
      </c>
      <c r="CA136" s="15">
        <v>0</v>
      </c>
      <c r="CB136" s="15">
        <v>469095</v>
      </c>
      <c r="CC136" s="15">
        <v>3003762</v>
      </c>
      <c r="CD136" s="16">
        <v>181524.34659090918</v>
      </c>
      <c r="CE136" s="15">
        <v>0</v>
      </c>
      <c r="CF136" s="14">
        <f t="shared" si="61"/>
        <v>3183992</v>
      </c>
      <c r="CG136" s="18"/>
      <c r="CH136" s="16"/>
      <c r="CI136" s="22"/>
      <c r="CJ136" s="17"/>
    </row>
    <row r="137" spans="1:88" s="13" customFormat="1" x14ac:dyDescent="0.35">
      <c r="A137" s="13">
        <v>1193070398</v>
      </c>
      <c r="B137" s="17" t="s">
        <v>95</v>
      </c>
      <c r="C137" s="17" t="s">
        <v>83</v>
      </c>
      <c r="D137" s="17" t="s">
        <v>286</v>
      </c>
      <c r="E137" s="17">
        <v>6563</v>
      </c>
      <c r="F137" s="17" t="s">
        <v>84</v>
      </c>
      <c r="G137" s="17" t="s">
        <v>85</v>
      </c>
      <c r="H137" s="17">
        <v>1193070398</v>
      </c>
      <c r="I137" s="17" t="s">
        <v>241</v>
      </c>
      <c r="J137" s="17" t="s">
        <v>94</v>
      </c>
      <c r="K137" s="17">
        <v>0</v>
      </c>
      <c r="L137" s="17">
        <v>0</v>
      </c>
      <c r="M137" s="17" t="s">
        <v>96</v>
      </c>
      <c r="N137" s="19">
        <v>45832</v>
      </c>
      <c r="O137" s="19">
        <v>45889</v>
      </c>
      <c r="P137" s="20">
        <v>1423500</v>
      </c>
      <c r="Q137" s="17">
        <v>20</v>
      </c>
      <c r="R137" s="14">
        <f t="shared" si="55"/>
        <v>949000</v>
      </c>
      <c r="S137" s="15">
        <v>133333</v>
      </c>
      <c r="T137" s="15">
        <v>0</v>
      </c>
      <c r="U137" s="7">
        <f t="shared" si="83"/>
        <v>0</v>
      </c>
      <c r="V137" s="15">
        <v>6</v>
      </c>
      <c r="W137" s="7">
        <f t="shared" si="84"/>
        <v>67939.772727272721</v>
      </c>
      <c r="X137" s="15">
        <v>0</v>
      </c>
      <c r="Y137" s="7">
        <f t="shared" si="73"/>
        <v>0</v>
      </c>
      <c r="Z137" s="15">
        <v>0</v>
      </c>
      <c r="AA137" s="7">
        <f t="shared" si="74"/>
        <v>0</v>
      </c>
      <c r="AB137" s="15">
        <v>0</v>
      </c>
      <c r="AC137" s="14">
        <f t="shared" si="75"/>
        <v>0</v>
      </c>
      <c r="AD137" s="14">
        <f t="shared" si="56"/>
        <v>6</v>
      </c>
      <c r="AE137" s="14">
        <f t="shared" si="57"/>
        <v>67939.772727272721</v>
      </c>
      <c r="AF137" s="15">
        <v>7</v>
      </c>
      <c r="AG137" s="7">
        <f t="shared" si="76"/>
        <v>81527.727272727265</v>
      </c>
      <c r="AH137" s="15">
        <v>0</v>
      </c>
      <c r="AI137" s="7">
        <f t="shared" si="77"/>
        <v>0</v>
      </c>
      <c r="AJ137" s="15">
        <v>3</v>
      </c>
      <c r="AK137" s="14">
        <f t="shared" si="78"/>
        <v>40763.86363636364</v>
      </c>
      <c r="AL137" s="15">
        <v>0</v>
      </c>
      <c r="AM137" s="7">
        <f t="shared" si="79"/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79</v>
      </c>
      <c r="AS137" s="7">
        <f t="shared" si="85"/>
        <v>178908.06818181815</v>
      </c>
      <c r="AT137" s="14">
        <f t="shared" si="58"/>
        <v>89</v>
      </c>
      <c r="AU137" s="14">
        <f t="shared" si="58"/>
        <v>301199.65909090906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113880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171980</v>
      </c>
      <c r="BQ137" s="15">
        <v>35000</v>
      </c>
      <c r="BR137" s="14">
        <f t="shared" si="59"/>
        <v>206980</v>
      </c>
      <c r="BS137" s="15">
        <v>57400</v>
      </c>
      <c r="BT137" s="15">
        <v>0</v>
      </c>
      <c r="BU137" s="15">
        <v>0</v>
      </c>
      <c r="BV137" s="14">
        <f t="shared" si="60"/>
        <v>57400</v>
      </c>
      <c r="BW137" s="15">
        <v>130522</v>
      </c>
      <c r="BX137" s="15">
        <v>15663</v>
      </c>
      <c r="BY137" s="15">
        <v>130522</v>
      </c>
      <c r="BZ137" s="15">
        <v>62192</v>
      </c>
      <c r="CA137" s="15">
        <v>0</v>
      </c>
      <c r="CB137" s="15">
        <v>338899</v>
      </c>
      <c r="CC137" s="15">
        <v>2169602</v>
      </c>
      <c r="CD137" s="16">
        <v>131149.56818181835</v>
      </c>
      <c r="CE137" s="15">
        <v>0</v>
      </c>
      <c r="CF137" s="14">
        <f t="shared" si="61"/>
        <v>2299781</v>
      </c>
      <c r="CG137" s="18"/>
      <c r="CH137" s="16"/>
      <c r="CI137" s="22"/>
      <c r="CJ137" s="17"/>
    </row>
    <row r="138" spans="1:88" s="13" customFormat="1" x14ac:dyDescent="0.35">
      <c r="A138" s="13">
        <v>1073150609</v>
      </c>
      <c r="B138" s="17" t="s">
        <v>95</v>
      </c>
      <c r="C138" s="17" t="s">
        <v>83</v>
      </c>
      <c r="D138" s="17" t="s">
        <v>286</v>
      </c>
      <c r="E138" s="17">
        <v>6563</v>
      </c>
      <c r="F138" s="17" t="s">
        <v>84</v>
      </c>
      <c r="G138" s="17" t="s">
        <v>85</v>
      </c>
      <c r="H138" s="17">
        <v>1073150609</v>
      </c>
      <c r="I138" s="17" t="s">
        <v>242</v>
      </c>
      <c r="J138" s="17" t="s">
        <v>94</v>
      </c>
      <c r="K138" s="17">
        <v>0</v>
      </c>
      <c r="L138" s="17">
        <v>0</v>
      </c>
      <c r="M138" s="17" t="s">
        <v>96</v>
      </c>
      <c r="N138" s="19">
        <v>45832</v>
      </c>
      <c r="O138" s="19">
        <v>1</v>
      </c>
      <c r="P138" s="20">
        <v>1423500</v>
      </c>
      <c r="Q138" s="17">
        <v>30</v>
      </c>
      <c r="R138" s="14">
        <f t="shared" si="55"/>
        <v>1423500</v>
      </c>
      <c r="S138" s="15">
        <v>200000</v>
      </c>
      <c r="T138" s="15">
        <v>0</v>
      </c>
      <c r="U138" s="7">
        <f t="shared" si="83"/>
        <v>0</v>
      </c>
      <c r="V138" s="15">
        <v>12.52</v>
      </c>
      <c r="W138" s="7">
        <f t="shared" si="84"/>
        <v>141767.65909090906</v>
      </c>
      <c r="X138" s="15">
        <v>0</v>
      </c>
      <c r="Y138" s="7">
        <f t="shared" si="73"/>
        <v>0</v>
      </c>
      <c r="Z138" s="15">
        <v>0</v>
      </c>
      <c r="AA138" s="7">
        <f t="shared" si="74"/>
        <v>0</v>
      </c>
      <c r="AB138" s="15">
        <v>0</v>
      </c>
      <c r="AC138" s="14">
        <f t="shared" si="75"/>
        <v>0</v>
      </c>
      <c r="AD138" s="14">
        <f t="shared" si="56"/>
        <v>12.52</v>
      </c>
      <c r="AE138" s="14">
        <f t="shared" si="57"/>
        <v>141767.65909090906</v>
      </c>
      <c r="AF138" s="15">
        <v>14</v>
      </c>
      <c r="AG138" s="7">
        <f t="shared" si="76"/>
        <v>163055.45454545453</v>
      </c>
      <c r="AH138" s="15">
        <v>0</v>
      </c>
      <c r="AI138" s="7">
        <f t="shared" si="77"/>
        <v>0</v>
      </c>
      <c r="AJ138" s="15">
        <v>4</v>
      </c>
      <c r="AK138" s="14">
        <f t="shared" si="78"/>
        <v>54351.818181818184</v>
      </c>
      <c r="AL138" s="15">
        <v>0</v>
      </c>
      <c r="AM138" s="7">
        <f t="shared" si="79"/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53</v>
      </c>
      <c r="AS138" s="7">
        <f t="shared" si="85"/>
        <v>120026.93181818179</v>
      </c>
      <c r="AT138" s="14">
        <f t="shared" si="58"/>
        <v>71</v>
      </c>
      <c r="AU138" s="14">
        <f t="shared" si="58"/>
        <v>337434.20454545447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113880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242185</v>
      </c>
      <c r="BQ138" s="15">
        <v>49200</v>
      </c>
      <c r="BR138" s="14">
        <f t="shared" si="59"/>
        <v>291385</v>
      </c>
      <c r="BS138" s="15">
        <v>80800</v>
      </c>
      <c r="BT138" s="15">
        <v>0</v>
      </c>
      <c r="BU138" s="15">
        <v>0</v>
      </c>
      <c r="BV138" s="14">
        <f t="shared" si="60"/>
        <v>80800</v>
      </c>
      <c r="BW138" s="15">
        <v>184816</v>
      </c>
      <c r="BX138" s="15">
        <v>22179</v>
      </c>
      <c r="BY138" s="15">
        <v>184816</v>
      </c>
      <c r="BZ138" s="15">
        <v>87575</v>
      </c>
      <c r="CA138" s="15">
        <v>0</v>
      </c>
      <c r="CB138" s="15">
        <v>479386</v>
      </c>
      <c r="CC138" s="15">
        <v>3069447</v>
      </c>
      <c r="CD138" s="16">
        <v>185462.13636363624</v>
      </c>
      <c r="CE138" s="15">
        <v>0</v>
      </c>
      <c r="CF138" s="14">
        <f t="shared" si="61"/>
        <v>3253615</v>
      </c>
      <c r="CG138" s="18"/>
      <c r="CH138" s="16"/>
      <c r="CI138" s="22"/>
      <c r="CJ138" s="15"/>
    </row>
    <row r="139" spans="1:88" s="13" customFormat="1" x14ac:dyDescent="0.35">
      <c r="A139" s="13">
        <v>1006197437</v>
      </c>
      <c r="B139" s="17" t="s">
        <v>95</v>
      </c>
      <c r="C139" s="17" t="s">
        <v>83</v>
      </c>
      <c r="D139" s="17" t="s">
        <v>286</v>
      </c>
      <c r="E139" s="17">
        <v>1980</v>
      </c>
      <c r="F139" s="17" t="s">
        <v>92</v>
      </c>
      <c r="G139" s="17" t="s">
        <v>93</v>
      </c>
      <c r="H139" s="17">
        <v>1006197437</v>
      </c>
      <c r="I139" s="17" t="s">
        <v>243</v>
      </c>
      <c r="J139" s="17" t="s">
        <v>94</v>
      </c>
      <c r="K139" s="17">
        <v>0</v>
      </c>
      <c r="L139" s="17">
        <v>0</v>
      </c>
      <c r="M139" s="17" t="s">
        <v>96</v>
      </c>
      <c r="N139" s="19">
        <v>45835</v>
      </c>
      <c r="O139" s="19">
        <v>1</v>
      </c>
      <c r="P139" s="20">
        <v>782925</v>
      </c>
      <c r="Q139" s="17">
        <v>26</v>
      </c>
      <c r="R139" s="14">
        <f t="shared" si="55"/>
        <v>678535</v>
      </c>
      <c r="S139" s="15">
        <v>173333</v>
      </c>
      <c r="T139" s="15">
        <v>8.1</v>
      </c>
      <c r="U139" s="7">
        <f t="shared" ref="U139:U140" si="86">+P139/110*T139*1.25</f>
        <v>72064.6875</v>
      </c>
      <c r="V139" s="15">
        <v>0</v>
      </c>
      <c r="W139" s="7">
        <f t="shared" ref="W139:W141" si="87">+P139/110*V139*1.75</f>
        <v>0</v>
      </c>
      <c r="X139" s="15">
        <v>0</v>
      </c>
      <c r="Y139" s="7">
        <f t="shared" si="73"/>
        <v>0</v>
      </c>
      <c r="Z139" s="15">
        <v>0</v>
      </c>
      <c r="AA139" s="7">
        <f t="shared" si="74"/>
        <v>0</v>
      </c>
      <c r="AB139" s="15">
        <v>0</v>
      </c>
      <c r="AC139" s="14">
        <f t="shared" si="75"/>
        <v>0</v>
      </c>
      <c r="AD139" s="14">
        <f t="shared" si="56"/>
        <v>8.1</v>
      </c>
      <c r="AE139" s="14">
        <f t="shared" si="57"/>
        <v>72064.6875</v>
      </c>
      <c r="AF139" s="15">
        <v>0</v>
      </c>
      <c r="AG139" s="7">
        <f t="shared" si="76"/>
        <v>0</v>
      </c>
      <c r="AH139" s="15">
        <v>0</v>
      </c>
      <c r="AI139" s="7">
        <f t="shared" si="77"/>
        <v>0</v>
      </c>
      <c r="AJ139" s="15">
        <v>0</v>
      </c>
      <c r="AK139" s="14">
        <f t="shared" si="78"/>
        <v>0</v>
      </c>
      <c r="AL139" s="15">
        <v>0</v>
      </c>
      <c r="AM139" s="7">
        <f t="shared" si="79"/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3.88</v>
      </c>
      <c r="AS139" s="7">
        <f t="shared" ref="AS139:AS140" si="88">+P139/110*AR139*0.35</f>
        <v>9665.5649999999987</v>
      </c>
      <c r="AT139" s="14">
        <f t="shared" si="58"/>
        <v>3.88</v>
      </c>
      <c r="AU139" s="14">
        <f t="shared" si="58"/>
        <v>9665.5649999999987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234083</v>
      </c>
      <c r="BD139" s="15">
        <v>0</v>
      </c>
      <c r="BE139" s="15">
        <v>295402</v>
      </c>
      <c r="BF139" s="15">
        <v>0</v>
      </c>
      <c r="BG139" s="15">
        <v>0</v>
      </c>
      <c r="BH139" s="15">
        <v>81566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178452</v>
      </c>
      <c r="BQ139" s="15">
        <v>30100</v>
      </c>
      <c r="BR139" s="14">
        <f t="shared" si="59"/>
        <v>208552</v>
      </c>
      <c r="BS139" s="15">
        <v>30500</v>
      </c>
      <c r="BT139" s="15">
        <v>0</v>
      </c>
      <c r="BU139" s="15">
        <v>0</v>
      </c>
      <c r="BV139" s="14">
        <f t="shared" si="60"/>
        <v>30500</v>
      </c>
      <c r="BW139" s="15">
        <v>80244</v>
      </c>
      <c r="BX139" s="15">
        <v>9630</v>
      </c>
      <c r="BY139" s="15">
        <v>80244</v>
      </c>
      <c r="BZ139" s="15">
        <v>34776</v>
      </c>
      <c r="CA139" s="15">
        <v>0</v>
      </c>
      <c r="CB139" s="15">
        <v>204894</v>
      </c>
      <c r="CC139" s="15">
        <v>1988597</v>
      </c>
      <c r="CD139" s="15">
        <v>119317</v>
      </c>
      <c r="CE139" s="15">
        <v>0</v>
      </c>
      <c r="CF139" s="14">
        <f t="shared" si="61"/>
        <v>2107912.2524999999</v>
      </c>
      <c r="CG139" s="18"/>
      <c r="CH139" s="16"/>
      <c r="CI139" s="17"/>
      <c r="CJ139" s="17"/>
    </row>
    <row r="140" spans="1:88" s="13" customFormat="1" x14ac:dyDescent="0.35">
      <c r="A140" s="13">
        <v>1144210234</v>
      </c>
      <c r="B140" s="17" t="s">
        <v>95</v>
      </c>
      <c r="C140" s="17" t="s">
        <v>83</v>
      </c>
      <c r="D140" s="17" t="s">
        <v>286</v>
      </c>
      <c r="E140" s="17">
        <v>1980</v>
      </c>
      <c r="F140" s="17" t="s">
        <v>92</v>
      </c>
      <c r="G140" s="17" t="s">
        <v>93</v>
      </c>
      <c r="H140" s="17">
        <v>1144210234</v>
      </c>
      <c r="I140" s="17" t="s">
        <v>244</v>
      </c>
      <c r="J140" s="17" t="s">
        <v>94</v>
      </c>
      <c r="K140" s="17">
        <v>0</v>
      </c>
      <c r="L140" s="17">
        <v>0</v>
      </c>
      <c r="M140" s="17" t="s">
        <v>96</v>
      </c>
      <c r="N140" s="19">
        <v>45835</v>
      </c>
      <c r="O140" s="19">
        <v>1</v>
      </c>
      <c r="P140" s="20">
        <v>782925</v>
      </c>
      <c r="Q140" s="17">
        <v>27</v>
      </c>
      <c r="R140" s="14">
        <f t="shared" si="55"/>
        <v>704632.5</v>
      </c>
      <c r="S140" s="15">
        <v>180000</v>
      </c>
      <c r="T140" s="15">
        <v>3.98</v>
      </c>
      <c r="U140" s="7">
        <f t="shared" si="86"/>
        <v>35409.5625</v>
      </c>
      <c r="V140" s="15">
        <v>0</v>
      </c>
      <c r="W140" s="7">
        <f t="shared" si="87"/>
        <v>0</v>
      </c>
      <c r="X140" s="15">
        <v>0</v>
      </c>
      <c r="Y140" s="7">
        <f t="shared" si="73"/>
        <v>0</v>
      </c>
      <c r="Z140" s="15">
        <v>0</v>
      </c>
      <c r="AA140" s="7">
        <f t="shared" si="74"/>
        <v>0</v>
      </c>
      <c r="AB140" s="15">
        <v>0</v>
      </c>
      <c r="AC140" s="14">
        <f t="shared" si="75"/>
        <v>0</v>
      </c>
      <c r="AD140" s="14">
        <f t="shared" si="56"/>
        <v>3.98</v>
      </c>
      <c r="AE140" s="14">
        <f t="shared" si="57"/>
        <v>35409.5625</v>
      </c>
      <c r="AF140" s="15">
        <v>0</v>
      </c>
      <c r="AG140" s="7">
        <f t="shared" si="76"/>
        <v>0</v>
      </c>
      <c r="AH140" s="15">
        <v>0</v>
      </c>
      <c r="AI140" s="7">
        <f t="shared" si="77"/>
        <v>0</v>
      </c>
      <c r="AJ140" s="15">
        <v>0</v>
      </c>
      <c r="AK140" s="14">
        <f t="shared" si="78"/>
        <v>0</v>
      </c>
      <c r="AL140" s="15">
        <v>0</v>
      </c>
      <c r="AM140" s="7">
        <f t="shared" si="79"/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3</v>
      </c>
      <c r="AS140" s="7">
        <f t="shared" si="88"/>
        <v>7473.3749999999991</v>
      </c>
      <c r="AT140" s="14">
        <f t="shared" si="58"/>
        <v>3</v>
      </c>
      <c r="AU140" s="14">
        <f t="shared" si="58"/>
        <v>7473.3749999999991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225413</v>
      </c>
      <c r="BD140" s="15">
        <v>0</v>
      </c>
      <c r="BE140" s="15">
        <v>284461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176554</v>
      </c>
      <c r="BQ140" s="15">
        <v>31300</v>
      </c>
      <c r="BR140" s="14">
        <f t="shared" si="59"/>
        <v>207854</v>
      </c>
      <c r="BS140" s="15">
        <v>30000</v>
      </c>
      <c r="BT140" s="15">
        <v>0</v>
      </c>
      <c r="BU140" s="15">
        <v>0</v>
      </c>
      <c r="BV140" s="14">
        <f t="shared" si="60"/>
        <v>30000</v>
      </c>
      <c r="BW140" s="15">
        <v>77290</v>
      </c>
      <c r="BX140" s="15">
        <v>9275</v>
      </c>
      <c r="BY140" s="15">
        <v>77290</v>
      </c>
      <c r="BZ140" s="15">
        <v>32441</v>
      </c>
      <c r="CA140" s="15">
        <v>0</v>
      </c>
      <c r="CB140" s="15">
        <v>196296</v>
      </c>
      <c r="CC140" s="15">
        <v>1871540</v>
      </c>
      <c r="CD140" s="15">
        <v>112296</v>
      </c>
      <c r="CE140" s="15">
        <v>0</v>
      </c>
      <c r="CF140" s="14">
        <f t="shared" si="61"/>
        <v>1983835.4375</v>
      </c>
      <c r="CG140" s="18"/>
      <c r="CH140" s="16"/>
      <c r="CI140" s="17"/>
      <c r="CJ140" s="17"/>
    </row>
    <row r="141" spans="1:88" s="13" customFormat="1" x14ac:dyDescent="0.35">
      <c r="A141" s="13">
        <v>1151952000</v>
      </c>
      <c r="B141" s="17" t="s">
        <v>95</v>
      </c>
      <c r="C141" s="17" t="s">
        <v>83</v>
      </c>
      <c r="D141" s="17" t="s">
        <v>286</v>
      </c>
      <c r="E141" s="17">
        <v>1980</v>
      </c>
      <c r="F141" s="17" t="s">
        <v>92</v>
      </c>
      <c r="G141" s="17" t="s">
        <v>93</v>
      </c>
      <c r="H141" s="17">
        <v>1151952000</v>
      </c>
      <c r="I141" s="17" t="s">
        <v>245</v>
      </c>
      <c r="J141" s="17" t="s">
        <v>94</v>
      </c>
      <c r="K141" s="17">
        <v>0</v>
      </c>
      <c r="L141" s="17">
        <v>0</v>
      </c>
      <c r="M141" s="17" t="s">
        <v>96</v>
      </c>
      <c r="N141" s="19">
        <v>45835</v>
      </c>
      <c r="O141" s="19">
        <v>45847</v>
      </c>
      <c r="P141" s="20">
        <v>782925</v>
      </c>
      <c r="Q141" s="17">
        <v>0</v>
      </c>
      <c r="R141" s="14">
        <f t="shared" si="55"/>
        <v>0</v>
      </c>
      <c r="S141" s="15">
        <v>0</v>
      </c>
      <c r="T141" s="15">
        <v>2</v>
      </c>
      <c r="U141" s="7">
        <f>+P141/115*T141*1.25</f>
        <v>17020.108695652176</v>
      </c>
      <c r="V141" s="15">
        <v>0</v>
      </c>
      <c r="W141" s="7">
        <f t="shared" si="87"/>
        <v>0</v>
      </c>
      <c r="X141" s="15">
        <v>0</v>
      </c>
      <c r="Y141" s="7">
        <f t="shared" si="73"/>
        <v>0</v>
      </c>
      <c r="Z141" s="15">
        <v>0</v>
      </c>
      <c r="AA141" s="7">
        <f t="shared" si="74"/>
        <v>0</v>
      </c>
      <c r="AB141" s="15">
        <v>0</v>
      </c>
      <c r="AC141" s="14">
        <f t="shared" si="75"/>
        <v>0</v>
      </c>
      <c r="AD141" s="14">
        <f t="shared" si="56"/>
        <v>2</v>
      </c>
      <c r="AE141" s="14">
        <f t="shared" si="57"/>
        <v>17020.108695652176</v>
      </c>
      <c r="AF141" s="15">
        <v>0</v>
      </c>
      <c r="AG141" s="7">
        <f t="shared" si="76"/>
        <v>0</v>
      </c>
      <c r="AH141" s="15">
        <v>0</v>
      </c>
      <c r="AI141" s="7">
        <f t="shared" si="77"/>
        <v>0</v>
      </c>
      <c r="AJ141" s="15">
        <v>0</v>
      </c>
      <c r="AK141" s="14">
        <f t="shared" si="78"/>
        <v>0</v>
      </c>
      <c r="AL141" s="15">
        <v>0</v>
      </c>
      <c r="AM141" s="7">
        <f t="shared" si="79"/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7">
        <f>+P141/115*AR141*0.35</f>
        <v>0</v>
      </c>
      <c r="AT141" s="14">
        <f t="shared" si="58"/>
        <v>0</v>
      </c>
      <c r="AU141" s="14">
        <f t="shared" si="58"/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4">
        <f t="shared" si="59"/>
        <v>0</v>
      </c>
      <c r="BS141" s="15">
        <v>700</v>
      </c>
      <c r="BT141" s="15">
        <v>0</v>
      </c>
      <c r="BU141" s="15">
        <v>0</v>
      </c>
      <c r="BV141" s="14">
        <f t="shared" si="60"/>
        <v>700</v>
      </c>
      <c r="BW141" s="15">
        <v>1418</v>
      </c>
      <c r="BX141" s="15">
        <v>170</v>
      </c>
      <c r="BY141" s="15">
        <v>1418</v>
      </c>
      <c r="BZ141" s="15">
        <v>739</v>
      </c>
      <c r="CA141" s="15">
        <v>0</v>
      </c>
      <c r="CB141" s="15">
        <v>3745</v>
      </c>
      <c r="CC141" s="15">
        <v>21465</v>
      </c>
      <c r="CD141" s="15">
        <v>1288</v>
      </c>
      <c r="CE141" s="15">
        <v>0</v>
      </c>
      <c r="CF141" s="14">
        <f t="shared" si="61"/>
        <v>22753.108695652176</v>
      </c>
      <c r="CG141" s="18"/>
      <c r="CH141" s="16"/>
      <c r="CI141" s="17"/>
      <c r="CJ141" s="17"/>
    </row>
    <row r="142" spans="1:88" s="13" customFormat="1" x14ac:dyDescent="0.35">
      <c r="A142" s="13">
        <v>1003741871</v>
      </c>
      <c r="B142" s="17" t="s">
        <v>95</v>
      </c>
      <c r="C142" s="17" t="s">
        <v>83</v>
      </c>
      <c r="D142" s="17" t="s">
        <v>286</v>
      </c>
      <c r="E142" s="17">
        <v>6563</v>
      </c>
      <c r="F142" s="17" t="s">
        <v>84</v>
      </c>
      <c r="G142" s="17" t="s">
        <v>85</v>
      </c>
      <c r="H142" s="17">
        <v>1003741871</v>
      </c>
      <c r="I142" s="17" t="s">
        <v>246</v>
      </c>
      <c r="J142" s="17" t="s">
        <v>94</v>
      </c>
      <c r="K142" s="17">
        <v>0</v>
      </c>
      <c r="L142" s="17">
        <v>0</v>
      </c>
      <c r="M142" s="17" t="s">
        <v>96</v>
      </c>
      <c r="N142" s="19">
        <v>45839</v>
      </c>
      <c r="O142" s="19">
        <v>1</v>
      </c>
      <c r="P142" s="20">
        <v>1423500</v>
      </c>
      <c r="Q142" s="17">
        <v>30</v>
      </c>
      <c r="R142" s="14">
        <f t="shared" si="55"/>
        <v>1423500</v>
      </c>
      <c r="S142" s="15">
        <v>200000</v>
      </c>
      <c r="T142" s="15">
        <v>4</v>
      </c>
      <c r="U142" s="7">
        <f t="shared" si="83"/>
        <v>32352.272727272724</v>
      </c>
      <c r="V142" s="15">
        <v>10</v>
      </c>
      <c r="W142" s="7">
        <f t="shared" si="84"/>
        <v>113232.95454545453</v>
      </c>
      <c r="X142" s="15">
        <v>0</v>
      </c>
      <c r="Y142" s="7">
        <f t="shared" si="73"/>
        <v>0</v>
      </c>
      <c r="Z142" s="15">
        <v>0</v>
      </c>
      <c r="AA142" s="7">
        <f t="shared" si="74"/>
        <v>0</v>
      </c>
      <c r="AB142" s="15">
        <v>0</v>
      </c>
      <c r="AC142" s="14">
        <f t="shared" si="75"/>
        <v>0</v>
      </c>
      <c r="AD142" s="14">
        <f t="shared" si="56"/>
        <v>14</v>
      </c>
      <c r="AE142" s="14">
        <f t="shared" si="57"/>
        <v>145585.22727272726</v>
      </c>
      <c r="AF142" s="15">
        <v>1</v>
      </c>
      <c r="AG142" s="7">
        <f t="shared" si="76"/>
        <v>11646.818181818182</v>
      </c>
      <c r="AH142" s="15">
        <v>0</v>
      </c>
      <c r="AI142" s="7">
        <f t="shared" si="77"/>
        <v>0</v>
      </c>
      <c r="AJ142" s="15">
        <v>3</v>
      </c>
      <c r="AK142" s="14">
        <f t="shared" si="78"/>
        <v>40763.86363636364</v>
      </c>
      <c r="AL142" s="15">
        <v>0</v>
      </c>
      <c r="AM142" s="7">
        <f t="shared" si="79"/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48.5</v>
      </c>
      <c r="AS142" s="7">
        <f t="shared" si="85"/>
        <v>109835.96590909088</v>
      </c>
      <c r="AT142" s="14">
        <f t="shared" si="58"/>
        <v>52.5</v>
      </c>
      <c r="AU142" s="14">
        <f t="shared" si="58"/>
        <v>162246.64772727271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113880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106300</v>
      </c>
      <c r="BL142" s="15">
        <v>0</v>
      </c>
      <c r="BM142" s="15">
        <v>0</v>
      </c>
      <c r="BN142" s="15">
        <v>0</v>
      </c>
      <c r="BO142" s="15">
        <v>0</v>
      </c>
      <c r="BP142" s="15">
        <v>221553</v>
      </c>
      <c r="BQ142" s="15">
        <v>9700</v>
      </c>
      <c r="BR142" s="14">
        <f t="shared" si="59"/>
        <v>231253</v>
      </c>
      <c r="BS142" s="15">
        <v>73900</v>
      </c>
      <c r="BT142" s="15">
        <v>0</v>
      </c>
      <c r="BU142" s="15">
        <v>0</v>
      </c>
      <c r="BV142" s="14">
        <f t="shared" si="60"/>
        <v>73900</v>
      </c>
      <c r="BW142" s="15">
        <v>170508</v>
      </c>
      <c r="BX142" s="15">
        <v>20462</v>
      </c>
      <c r="BY142" s="15">
        <v>170508</v>
      </c>
      <c r="BZ142" s="15">
        <v>80125</v>
      </c>
      <c r="CA142" s="15">
        <v>0</v>
      </c>
      <c r="CB142" s="15">
        <v>441603</v>
      </c>
      <c r="CC142" s="15">
        <v>2792938</v>
      </c>
      <c r="CD142" s="16">
        <v>174926.125</v>
      </c>
      <c r="CE142" s="15">
        <v>0</v>
      </c>
      <c r="CF142" s="14">
        <f t="shared" si="61"/>
        <v>3073194</v>
      </c>
      <c r="CG142" s="18"/>
      <c r="CH142" s="16"/>
      <c r="CI142" s="22"/>
      <c r="CJ142" s="15"/>
    </row>
    <row r="143" spans="1:88" s="13" customFormat="1" x14ac:dyDescent="0.35">
      <c r="A143" s="13">
        <v>1106362387</v>
      </c>
      <c r="B143" s="17" t="s">
        <v>95</v>
      </c>
      <c r="C143" s="17" t="s">
        <v>83</v>
      </c>
      <c r="D143" s="17" t="s">
        <v>286</v>
      </c>
      <c r="E143" s="17">
        <v>6563</v>
      </c>
      <c r="F143" s="17" t="s">
        <v>84</v>
      </c>
      <c r="G143" s="17" t="s">
        <v>85</v>
      </c>
      <c r="H143" s="17">
        <v>1106362387</v>
      </c>
      <c r="I143" s="17" t="s">
        <v>247</v>
      </c>
      <c r="J143" s="17" t="s">
        <v>94</v>
      </c>
      <c r="K143" s="17">
        <v>0</v>
      </c>
      <c r="L143" s="17">
        <v>0</v>
      </c>
      <c r="M143" s="17" t="s">
        <v>96</v>
      </c>
      <c r="N143" s="19">
        <v>45839</v>
      </c>
      <c r="O143" s="19">
        <v>1</v>
      </c>
      <c r="P143" s="20">
        <v>1423500</v>
      </c>
      <c r="Q143" s="17">
        <v>30</v>
      </c>
      <c r="R143" s="14">
        <f t="shared" si="55"/>
        <v>1423500</v>
      </c>
      <c r="S143" s="15">
        <v>200000</v>
      </c>
      <c r="T143" s="15">
        <v>4</v>
      </c>
      <c r="U143" s="7">
        <f t="shared" si="83"/>
        <v>32352.272727272724</v>
      </c>
      <c r="V143" s="15">
        <v>8</v>
      </c>
      <c r="W143" s="7">
        <f t="shared" si="84"/>
        <v>90586.363636363632</v>
      </c>
      <c r="X143" s="15">
        <v>0</v>
      </c>
      <c r="Y143" s="7">
        <f t="shared" si="73"/>
        <v>0</v>
      </c>
      <c r="Z143" s="15">
        <v>0</v>
      </c>
      <c r="AA143" s="7">
        <f t="shared" si="74"/>
        <v>0</v>
      </c>
      <c r="AB143" s="15">
        <v>0</v>
      </c>
      <c r="AC143" s="14">
        <f t="shared" si="75"/>
        <v>0</v>
      </c>
      <c r="AD143" s="14">
        <f t="shared" si="56"/>
        <v>12</v>
      </c>
      <c r="AE143" s="14">
        <f t="shared" si="57"/>
        <v>122938.63636363635</v>
      </c>
      <c r="AF143" s="15">
        <v>1</v>
      </c>
      <c r="AG143" s="7">
        <f t="shared" si="76"/>
        <v>11646.818181818182</v>
      </c>
      <c r="AH143" s="15">
        <v>0</v>
      </c>
      <c r="AI143" s="7">
        <f t="shared" si="77"/>
        <v>0</v>
      </c>
      <c r="AJ143" s="15">
        <v>3</v>
      </c>
      <c r="AK143" s="14">
        <f t="shared" si="78"/>
        <v>40763.86363636364</v>
      </c>
      <c r="AL143" s="15">
        <v>0</v>
      </c>
      <c r="AM143" s="7">
        <f t="shared" si="79"/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49</v>
      </c>
      <c r="AS143" s="7">
        <f t="shared" si="85"/>
        <v>110968.29545454544</v>
      </c>
      <c r="AT143" s="14">
        <f t="shared" si="58"/>
        <v>53</v>
      </c>
      <c r="AU143" s="14">
        <f t="shared" si="58"/>
        <v>163378.97727272726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113880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106300</v>
      </c>
      <c r="BL143" s="15">
        <v>0</v>
      </c>
      <c r="BM143" s="15">
        <v>0</v>
      </c>
      <c r="BN143" s="15">
        <v>0</v>
      </c>
      <c r="BO143" s="15">
        <v>0</v>
      </c>
      <c r="BP143" s="15">
        <v>219013</v>
      </c>
      <c r="BQ143" s="15">
        <v>9600</v>
      </c>
      <c r="BR143" s="14">
        <f t="shared" si="59"/>
        <v>228613</v>
      </c>
      <c r="BS143" s="15">
        <v>73000</v>
      </c>
      <c r="BT143" s="15">
        <v>0</v>
      </c>
      <c r="BU143" s="15">
        <v>0</v>
      </c>
      <c r="BV143" s="14">
        <f t="shared" si="60"/>
        <v>73000</v>
      </c>
      <c r="BW143" s="15">
        <v>168716</v>
      </c>
      <c r="BX143" s="15">
        <v>20247</v>
      </c>
      <c r="BY143" s="15">
        <v>168716</v>
      </c>
      <c r="BZ143" s="15">
        <v>79191</v>
      </c>
      <c r="CA143" s="15">
        <v>0</v>
      </c>
      <c r="CB143" s="15">
        <v>436870</v>
      </c>
      <c r="CC143" s="15">
        <v>2763150</v>
      </c>
      <c r="CD143" s="16">
        <v>173138.38636363624</v>
      </c>
      <c r="CE143" s="15">
        <v>0</v>
      </c>
      <c r="CF143" s="14">
        <f t="shared" si="61"/>
        <v>3041619</v>
      </c>
      <c r="CG143" s="18"/>
      <c r="CH143" s="16"/>
      <c r="CI143" s="22"/>
      <c r="CJ143" s="17"/>
    </row>
    <row r="144" spans="1:88" s="13" customFormat="1" x14ac:dyDescent="0.35">
      <c r="A144" s="13">
        <v>1006784399</v>
      </c>
      <c r="B144" s="17" t="s">
        <v>95</v>
      </c>
      <c r="C144" s="17" t="s">
        <v>83</v>
      </c>
      <c r="D144" s="17" t="s">
        <v>286</v>
      </c>
      <c r="E144" s="17">
        <v>6571</v>
      </c>
      <c r="F144" s="17" t="s">
        <v>88</v>
      </c>
      <c r="G144" s="17" t="s">
        <v>89</v>
      </c>
      <c r="H144" s="17">
        <v>1006784399</v>
      </c>
      <c r="I144" s="17" t="s">
        <v>248</v>
      </c>
      <c r="J144" s="17" t="s">
        <v>94</v>
      </c>
      <c r="K144" s="17">
        <v>0</v>
      </c>
      <c r="L144" s="17">
        <v>0</v>
      </c>
      <c r="M144" s="17" t="s">
        <v>96</v>
      </c>
      <c r="N144" s="19">
        <v>45835</v>
      </c>
      <c r="O144" s="19">
        <v>1</v>
      </c>
      <c r="P144" s="20">
        <v>1423500</v>
      </c>
      <c r="Q144" s="17">
        <v>28</v>
      </c>
      <c r="R144" s="14">
        <f t="shared" si="55"/>
        <v>1328600</v>
      </c>
      <c r="S144" s="15">
        <v>186667</v>
      </c>
      <c r="T144" s="15">
        <v>0</v>
      </c>
      <c r="U144" s="7">
        <f t="shared" si="83"/>
        <v>0</v>
      </c>
      <c r="V144" s="15">
        <v>2</v>
      </c>
      <c r="W144" s="7">
        <f t="shared" si="84"/>
        <v>22646.590909090908</v>
      </c>
      <c r="X144" s="15">
        <v>0</v>
      </c>
      <c r="Y144" s="7">
        <f t="shared" si="73"/>
        <v>0</v>
      </c>
      <c r="Z144" s="15">
        <v>0</v>
      </c>
      <c r="AA144" s="7">
        <f t="shared" si="74"/>
        <v>0</v>
      </c>
      <c r="AB144" s="15">
        <v>0</v>
      </c>
      <c r="AC144" s="14">
        <f t="shared" si="75"/>
        <v>0</v>
      </c>
      <c r="AD144" s="14">
        <f t="shared" si="56"/>
        <v>2</v>
      </c>
      <c r="AE144" s="14">
        <f t="shared" si="57"/>
        <v>22646.590909090908</v>
      </c>
      <c r="AF144" s="15">
        <v>0</v>
      </c>
      <c r="AG144" s="7">
        <f t="shared" si="76"/>
        <v>0</v>
      </c>
      <c r="AH144" s="15">
        <v>0</v>
      </c>
      <c r="AI144" s="7">
        <f t="shared" si="77"/>
        <v>0</v>
      </c>
      <c r="AJ144" s="15">
        <v>0</v>
      </c>
      <c r="AK144" s="14">
        <f t="shared" si="78"/>
        <v>0</v>
      </c>
      <c r="AL144" s="15">
        <v>0</v>
      </c>
      <c r="AM144" s="7">
        <f t="shared" si="79"/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54.78</v>
      </c>
      <c r="AS144" s="7">
        <f t="shared" si="85"/>
        <v>124058.02499999999</v>
      </c>
      <c r="AT144" s="14">
        <f t="shared" si="58"/>
        <v>54.78</v>
      </c>
      <c r="AU144" s="14">
        <f t="shared" si="58"/>
        <v>124058.02499999999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70000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200888</v>
      </c>
      <c r="BQ144" s="15">
        <v>37700</v>
      </c>
      <c r="BR144" s="14">
        <f t="shared" si="59"/>
        <v>238588</v>
      </c>
      <c r="BS144" s="15">
        <v>61900</v>
      </c>
      <c r="BT144" s="15">
        <v>0</v>
      </c>
      <c r="BU144" s="15">
        <v>0</v>
      </c>
      <c r="BV144" s="14">
        <f t="shared" si="60"/>
        <v>61900</v>
      </c>
      <c r="BW144" s="15">
        <v>144325</v>
      </c>
      <c r="BX144" s="15">
        <v>17320</v>
      </c>
      <c r="BY144" s="15">
        <v>144325</v>
      </c>
      <c r="BZ144" s="15">
        <v>67066</v>
      </c>
      <c r="CA144" s="15">
        <v>0</v>
      </c>
      <c r="CB144" s="15">
        <v>373036</v>
      </c>
      <c r="CC144" s="15">
        <v>2405496</v>
      </c>
      <c r="CD144" s="15">
        <v>144332</v>
      </c>
      <c r="CE144" s="15">
        <v>0</v>
      </c>
      <c r="CF144" s="14">
        <f t="shared" si="61"/>
        <v>2549827.6159090912</v>
      </c>
      <c r="CG144" s="18"/>
      <c r="CH144" s="16"/>
      <c r="CI144" s="17"/>
      <c r="CJ144" s="17"/>
    </row>
    <row r="145" spans="1:88" s="13" customFormat="1" x14ac:dyDescent="0.35">
      <c r="A145" s="13">
        <v>1070967711</v>
      </c>
      <c r="B145" s="17" t="s">
        <v>95</v>
      </c>
      <c r="C145" s="17" t="s">
        <v>83</v>
      </c>
      <c r="D145" s="17" t="s">
        <v>286</v>
      </c>
      <c r="E145" s="17">
        <v>6563</v>
      </c>
      <c r="F145" s="17" t="s">
        <v>84</v>
      </c>
      <c r="G145" s="17" t="s">
        <v>85</v>
      </c>
      <c r="H145" s="17">
        <v>1070967711</v>
      </c>
      <c r="I145" s="17" t="s">
        <v>249</v>
      </c>
      <c r="J145" s="17" t="s">
        <v>94</v>
      </c>
      <c r="K145" s="17">
        <v>0</v>
      </c>
      <c r="L145" s="17">
        <v>0</v>
      </c>
      <c r="M145" s="17" t="s">
        <v>96</v>
      </c>
      <c r="N145" s="19">
        <v>45841</v>
      </c>
      <c r="O145" s="19">
        <v>1</v>
      </c>
      <c r="P145" s="20">
        <v>1423500</v>
      </c>
      <c r="Q145" s="17">
        <v>30</v>
      </c>
      <c r="R145" s="14">
        <f t="shared" si="55"/>
        <v>1423500</v>
      </c>
      <c r="S145" s="15">
        <v>200000</v>
      </c>
      <c r="T145" s="15">
        <v>5.05</v>
      </c>
      <c r="U145" s="7">
        <f t="shared" si="83"/>
        <v>40844.744318181816</v>
      </c>
      <c r="V145" s="15">
        <v>3</v>
      </c>
      <c r="W145" s="7">
        <f t="shared" si="84"/>
        <v>33969.88636363636</v>
      </c>
      <c r="X145" s="15">
        <v>0</v>
      </c>
      <c r="Y145" s="7">
        <f t="shared" si="73"/>
        <v>0</v>
      </c>
      <c r="Z145" s="15">
        <v>0</v>
      </c>
      <c r="AA145" s="7">
        <f t="shared" si="74"/>
        <v>0</v>
      </c>
      <c r="AB145" s="15">
        <v>0</v>
      </c>
      <c r="AC145" s="14">
        <f t="shared" si="75"/>
        <v>0</v>
      </c>
      <c r="AD145" s="14">
        <f t="shared" si="56"/>
        <v>8.0500000000000007</v>
      </c>
      <c r="AE145" s="14">
        <f t="shared" si="57"/>
        <v>74814.630681818177</v>
      </c>
      <c r="AF145" s="15">
        <v>14</v>
      </c>
      <c r="AG145" s="7">
        <f t="shared" si="76"/>
        <v>163055.45454545453</v>
      </c>
      <c r="AH145" s="15">
        <v>0</v>
      </c>
      <c r="AI145" s="7">
        <f t="shared" si="77"/>
        <v>0</v>
      </c>
      <c r="AJ145" s="15">
        <v>2</v>
      </c>
      <c r="AK145" s="14">
        <f t="shared" si="78"/>
        <v>27175.909090909092</v>
      </c>
      <c r="AL145" s="15">
        <v>0</v>
      </c>
      <c r="AM145" s="7">
        <f t="shared" si="79"/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12.5</v>
      </c>
      <c r="AS145" s="7">
        <f t="shared" si="85"/>
        <v>28308.238636363632</v>
      </c>
      <c r="AT145" s="14">
        <f t="shared" si="58"/>
        <v>28.5</v>
      </c>
      <c r="AU145" s="14">
        <f t="shared" si="58"/>
        <v>218539.60227272724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102859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106300</v>
      </c>
      <c r="BL145" s="15">
        <v>0</v>
      </c>
      <c r="BM145" s="15">
        <v>0</v>
      </c>
      <c r="BN145" s="15">
        <v>0</v>
      </c>
      <c r="BO145" s="15">
        <v>0</v>
      </c>
      <c r="BP145" s="15">
        <v>218486</v>
      </c>
      <c r="BQ145" s="15">
        <v>9600</v>
      </c>
      <c r="BR145" s="14">
        <f t="shared" si="59"/>
        <v>228086</v>
      </c>
      <c r="BS145" s="15">
        <v>72900</v>
      </c>
      <c r="BT145" s="15">
        <v>0</v>
      </c>
      <c r="BU145" s="15">
        <v>0</v>
      </c>
      <c r="BV145" s="14">
        <f t="shared" si="60"/>
        <v>72900</v>
      </c>
      <c r="BW145" s="15">
        <v>168357</v>
      </c>
      <c r="BX145" s="15">
        <v>20204</v>
      </c>
      <c r="BY145" s="15">
        <v>168357</v>
      </c>
      <c r="BZ145" s="15">
        <v>79004</v>
      </c>
      <c r="CA145" s="15">
        <v>0</v>
      </c>
      <c r="CB145" s="15">
        <v>435922</v>
      </c>
      <c r="CC145" s="15">
        <v>2757268</v>
      </c>
      <c r="CD145" s="16">
        <v>172461.76704545459</v>
      </c>
      <c r="CE145" s="15">
        <v>0</v>
      </c>
      <c r="CF145" s="14">
        <f t="shared" si="61"/>
        <v>3035383</v>
      </c>
      <c r="CG145" s="18"/>
      <c r="CH145" s="16"/>
      <c r="CI145" s="22"/>
      <c r="CJ145" s="17"/>
    </row>
    <row r="146" spans="1:88" s="13" customFormat="1" x14ac:dyDescent="0.35">
      <c r="A146" s="13">
        <v>1047397264</v>
      </c>
      <c r="B146" s="17" t="s">
        <v>95</v>
      </c>
      <c r="C146" s="17" t="s">
        <v>83</v>
      </c>
      <c r="D146" s="17" t="s">
        <v>286</v>
      </c>
      <c r="E146" s="17">
        <v>6563</v>
      </c>
      <c r="F146" s="17" t="s">
        <v>84</v>
      </c>
      <c r="G146" s="17" t="s">
        <v>85</v>
      </c>
      <c r="H146" s="17">
        <v>1047397264</v>
      </c>
      <c r="I146" s="17" t="s">
        <v>250</v>
      </c>
      <c r="J146" s="17" t="s">
        <v>94</v>
      </c>
      <c r="K146" s="17">
        <v>0</v>
      </c>
      <c r="L146" s="17">
        <v>0</v>
      </c>
      <c r="M146" s="17" t="s">
        <v>96</v>
      </c>
      <c r="N146" s="19">
        <v>45841</v>
      </c>
      <c r="O146" s="19">
        <v>45888</v>
      </c>
      <c r="P146" s="20">
        <v>1423500</v>
      </c>
      <c r="Q146" s="17">
        <v>16</v>
      </c>
      <c r="R146" s="14">
        <f t="shared" si="55"/>
        <v>759200</v>
      </c>
      <c r="S146" s="15">
        <v>100000</v>
      </c>
      <c r="T146" s="15">
        <v>1</v>
      </c>
      <c r="U146" s="7">
        <f t="shared" si="83"/>
        <v>8088.0681818181811</v>
      </c>
      <c r="V146" s="15">
        <v>1.03</v>
      </c>
      <c r="W146" s="7">
        <f t="shared" si="84"/>
        <v>11662.994318181818</v>
      </c>
      <c r="X146" s="15">
        <v>0</v>
      </c>
      <c r="Y146" s="7">
        <f t="shared" si="73"/>
        <v>0</v>
      </c>
      <c r="Z146" s="15">
        <v>0</v>
      </c>
      <c r="AA146" s="7">
        <f t="shared" si="74"/>
        <v>0</v>
      </c>
      <c r="AB146" s="15">
        <v>0</v>
      </c>
      <c r="AC146" s="14">
        <f t="shared" si="75"/>
        <v>0</v>
      </c>
      <c r="AD146" s="14">
        <f t="shared" si="56"/>
        <v>2.0300000000000002</v>
      </c>
      <c r="AE146" s="14">
        <f t="shared" si="57"/>
        <v>19751.0625</v>
      </c>
      <c r="AF146" s="15">
        <v>7</v>
      </c>
      <c r="AG146" s="7">
        <f t="shared" si="76"/>
        <v>81527.727272727265</v>
      </c>
      <c r="AH146" s="15">
        <v>0</v>
      </c>
      <c r="AI146" s="7">
        <f t="shared" si="77"/>
        <v>0</v>
      </c>
      <c r="AJ146" s="15">
        <v>1</v>
      </c>
      <c r="AK146" s="14">
        <f t="shared" si="78"/>
        <v>13587.954545454546</v>
      </c>
      <c r="AL146" s="15">
        <v>0</v>
      </c>
      <c r="AM146" s="7">
        <f t="shared" si="79"/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11.5</v>
      </c>
      <c r="AS146" s="7">
        <f t="shared" si="85"/>
        <v>26043.57954545454</v>
      </c>
      <c r="AT146" s="14">
        <f t="shared" si="58"/>
        <v>19.5</v>
      </c>
      <c r="AU146" s="14">
        <f t="shared" si="58"/>
        <v>121159.26136363635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106300</v>
      </c>
      <c r="BL146" s="15">
        <v>0</v>
      </c>
      <c r="BM146" s="15">
        <v>0</v>
      </c>
      <c r="BN146" s="15">
        <v>0</v>
      </c>
      <c r="BO146" s="15">
        <v>0</v>
      </c>
      <c r="BP146" s="15">
        <v>130883</v>
      </c>
      <c r="BQ146" s="15">
        <v>4500</v>
      </c>
      <c r="BR146" s="14">
        <f t="shared" si="59"/>
        <v>135383</v>
      </c>
      <c r="BS146" s="15">
        <v>36100</v>
      </c>
      <c r="BT146" s="15">
        <v>0</v>
      </c>
      <c r="BU146" s="15">
        <v>0</v>
      </c>
      <c r="BV146" s="14">
        <f t="shared" si="60"/>
        <v>36100</v>
      </c>
      <c r="BW146" s="15">
        <v>83366</v>
      </c>
      <c r="BX146" s="15">
        <v>10004</v>
      </c>
      <c r="BY146" s="15">
        <v>83366</v>
      </c>
      <c r="BZ146" s="15">
        <v>39079</v>
      </c>
      <c r="CA146" s="15">
        <v>0</v>
      </c>
      <c r="CB146" s="15">
        <v>215815</v>
      </c>
      <c r="CC146" s="15">
        <v>1387732</v>
      </c>
      <c r="CD146" s="15">
        <v>89968</v>
      </c>
      <c r="CE146" s="15">
        <v>0</v>
      </c>
      <c r="CF146" s="14">
        <f t="shared" si="61"/>
        <v>1583676.3238636362</v>
      </c>
      <c r="CG146" s="18"/>
      <c r="CH146" s="16"/>
      <c r="CI146" s="17"/>
      <c r="CJ146" s="17"/>
    </row>
    <row r="147" spans="1:88" s="13" customFormat="1" x14ac:dyDescent="0.35">
      <c r="A147" s="13">
        <v>1070968282</v>
      </c>
      <c r="B147" s="17" t="s">
        <v>95</v>
      </c>
      <c r="C147" s="17" t="s">
        <v>83</v>
      </c>
      <c r="D147" s="17" t="s">
        <v>286</v>
      </c>
      <c r="E147" s="17">
        <v>6563</v>
      </c>
      <c r="F147" s="17" t="s">
        <v>84</v>
      </c>
      <c r="G147" s="17" t="s">
        <v>85</v>
      </c>
      <c r="H147" s="17">
        <v>1070968282</v>
      </c>
      <c r="I147" s="17" t="s">
        <v>251</v>
      </c>
      <c r="J147" s="17" t="s">
        <v>94</v>
      </c>
      <c r="K147" s="17">
        <v>0</v>
      </c>
      <c r="L147" s="17">
        <v>0</v>
      </c>
      <c r="M147" s="17" t="s">
        <v>96</v>
      </c>
      <c r="N147" s="19">
        <v>45841</v>
      </c>
      <c r="O147" s="19">
        <v>1</v>
      </c>
      <c r="P147" s="20">
        <v>1423500</v>
      </c>
      <c r="Q147" s="17">
        <v>30</v>
      </c>
      <c r="R147" s="14">
        <f t="shared" si="55"/>
        <v>1423500</v>
      </c>
      <c r="S147" s="15">
        <v>166667</v>
      </c>
      <c r="T147" s="15">
        <v>0</v>
      </c>
      <c r="U147" s="7">
        <f t="shared" si="83"/>
        <v>0</v>
      </c>
      <c r="V147" s="15">
        <v>6.5</v>
      </c>
      <c r="W147" s="7">
        <f t="shared" si="84"/>
        <v>73601.420454545456</v>
      </c>
      <c r="X147" s="15">
        <v>0</v>
      </c>
      <c r="Y147" s="7">
        <f t="shared" si="73"/>
        <v>0</v>
      </c>
      <c r="Z147" s="15">
        <v>0</v>
      </c>
      <c r="AA147" s="7">
        <f t="shared" si="74"/>
        <v>0</v>
      </c>
      <c r="AB147" s="15">
        <v>0</v>
      </c>
      <c r="AC147" s="14">
        <f t="shared" si="75"/>
        <v>0</v>
      </c>
      <c r="AD147" s="14">
        <f t="shared" si="56"/>
        <v>6.5</v>
      </c>
      <c r="AE147" s="14">
        <f t="shared" si="57"/>
        <v>73601.420454545456</v>
      </c>
      <c r="AF147" s="15">
        <v>0</v>
      </c>
      <c r="AG147" s="7">
        <f t="shared" si="76"/>
        <v>0</v>
      </c>
      <c r="AH147" s="15">
        <v>0</v>
      </c>
      <c r="AI147" s="7">
        <f t="shared" si="77"/>
        <v>0</v>
      </c>
      <c r="AJ147" s="15">
        <v>0</v>
      </c>
      <c r="AK147" s="14">
        <f t="shared" si="78"/>
        <v>0</v>
      </c>
      <c r="AL147" s="15">
        <v>0</v>
      </c>
      <c r="AM147" s="7">
        <f t="shared" si="79"/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26</v>
      </c>
      <c r="AS147" s="7">
        <f t="shared" si="85"/>
        <v>58881.13636363636</v>
      </c>
      <c r="AT147" s="14">
        <f t="shared" si="58"/>
        <v>26</v>
      </c>
      <c r="AU147" s="14">
        <f t="shared" si="58"/>
        <v>58881.13636363636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84492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106300</v>
      </c>
      <c r="BL147" s="15">
        <v>0</v>
      </c>
      <c r="BM147" s="15">
        <v>0</v>
      </c>
      <c r="BN147" s="15">
        <v>0</v>
      </c>
      <c r="BO147" s="15">
        <v>0</v>
      </c>
      <c r="BP147" s="15">
        <v>196981</v>
      </c>
      <c r="BQ147" s="15">
        <v>7400</v>
      </c>
      <c r="BR147" s="14">
        <f t="shared" si="59"/>
        <v>204381</v>
      </c>
      <c r="BS147" s="15">
        <v>65700</v>
      </c>
      <c r="BT147" s="15">
        <v>0</v>
      </c>
      <c r="BU147" s="15">
        <v>0</v>
      </c>
      <c r="BV147" s="14">
        <f t="shared" si="60"/>
        <v>65700</v>
      </c>
      <c r="BW147" s="15">
        <v>150589</v>
      </c>
      <c r="BX147" s="15">
        <v>18071</v>
      </c>
      <c r="BY147" s="15">
        <v>150589</v>
      </c>
      <c r="BZ147" s="15">
        <v>71197</v>
      </c>
      <c r="CA147" s="15">
        <v>0</v>
      </c>
      <c r="CB147" s="15">
        <v>390446</v>
      </c>
      <c r="CC147" s="15">
        <v>2467668</v>
      </c>
      <c r="CD147" s="15">
        <v>154439</v>
      </c>
      <c r="CE147" s="15">
        <v>0</v>
      </c>
      <c r="CF147" s="14">
        <f t="shared" si="61"/>
        <v>2728407.5568181816</v>
      </c>
      <c r="CG147" s="18"/>
      <c r="CH147" s="16"/>
      <c r="CI147" s="17"/>
      <c r="CJ147" s="17"/>
    </row>
    <row r="148" spans="1:88" s="13" customFormat="1" x14ac:dyDescent="0.35">
      <c r="A148" s="13">
        <v>1073521295</v>
      </c>
      <c r="B148" s="17" t="s">
        <v>95</v>
      </c>
      <c r="C148" s="17" t="s">
        <v>83</v>
      </c>
      <c r="D148" s="17" t="s">
        <v>286</v>
      </c>
      <c r="E148" s="17">
        <v>6563</v>
      </c>
      <c r="F148" s="17" t="s">
        <v>84</v>
      </c>
      <c r="G148" s="17" t="s">
        <v>85</v>
      </c>
      <c r="H148" s="17">
        <v>1073521295</v>
      </c>
      <c r="I148" s="17" t="s">
        <v>252</v>
      </c>
      <c r="J148" s="17" t="s">
        <v>94</v>
      </c>
      <c r="K148" s="17">
        <v>0</v>
      </c>
      <c r="L148" s="17">
        <v>0</v>
      </c>
      <c r="M148" s="17" t="s">
        <v>96</v>
      </c>
      <c r="N148" s="19">
        <v>45842</v>
      </c>
      <c r="O148" s="19">
        <v>1</v>
      </c>
      <c r="P148" s="20">
        <v>782925</v>
      </c>
      <c r="Q148" s="17">
        <v>30</v>
      </c>
      <c r="R148" s="14">
        <f t="shared" si="55"/>
        <v>782925</v>
      </c>
      <c r="S148" s="15">
        <v>200000</v>
      </c>
      <c r="T148" s="15">
        <v>20.02</v>
      </c>
      <c r="U148" s="7">
        <f>+P148/110*T148*1.25</f>
        <v>178115.4375</v>
      </c>
      <c r="V148" s="15">
        <v>0</v>
      </c>
      <c r="W148" s="7">
        <f>+P148/110*V148*1.75</f>
        <v>0</v>
      </c>
      <c r="X148" s="15">
        <v>0</v>
      </c>
      <c r="Y148" s="7">
        <f t="shared" si="73"/>
        <v>0</v>
      </c>
      <c r="Z148" s="15">
        <v>0</v>
      </c>
      <c r="AA148" s="7">
        <f t="shared" si="74"/>
        <v>0</v>
      </c>
      <c r="AB148" s="15">
        <v>0</v>
      </c>
      <c r="AC148" s="14">
        <f t="shared" si="75"/>
        <v>0</v>
      </c>
      <c r="AD148" s="14">
        <f t="shared" si="56"/>
        <v>20.02</v>
      </c>
      <c r="AE148" s="14">
        <f t="shared" si="57"/>
        <v>178115.4375</v>
      </c>
      <c r="AF148" s="15">
        <v>0</v>
      </c>
      <c r="AG148" s="7">
        <f t="shared" si="76"/>
        <v>0</v>
      </c>
      <c r="AH148" s="15">
        <v>0</v>
      </c>
      <c r="AI148" s="7">
        <f t="shared" si="77"/>
        <v>0</v>
      </c>
      <c r="AJ148" s="15">
        <v>0</v>
      </c>
      <c r="AK148" s="14">
        <f t="shared" si="78"/>
        <v>0</v>
      </c>
      <c r="AL148" s="15">
        <v>0</v>
      </c>
      <c r="AM148" s="7">
        <f t="shared" si="79"/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72</v>
      </c>
      <c r="AS148" s="7">
        <f>+P148/110*AR148*0.35</f>
        <v>179361</v>
      </c>
      <c r="AT148" s="14">
        <f t="shared" si="58"/>
        <v>72</v>
      </c>
      <c r="AU148" s="14">
        <f t="shared" si="58"/>
        <v>179361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177747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106300</v>
      </c>
      <c r="BL148" s="15">
        <v>0</v>
      </c>
      <c r="BM148" s="15">
        <v>0</v>
      </c>
      <c r="BN148" s="15">
        <v>0</v>
      </c>
      <c r="BO148" s="15">
        <v>0</v>
      </c>
      <c r="BP148" s="15">
        <v>170860</v>
      </c>
      <c r="BQ148" s="15">
        <v>34700</v>
      </c>
      <c r="BR148" s="14">
        <f t="shared" si="59"/>
        <v>205560</v>
      </c>
      <c r="BS148" s="15">
        <v>45700</v>
      </c>
      <c r="BT148" s="15">
        <v>0</v>
      </c>
      <c r="BU148" s="15">
        <v>0</v>
      </c>
      <c r="BV148" s="14">
        <f t="shared" si="60"/>
        <v>45700</v>
      </c>
      <c r="BW148" s="15">
        <v>111696</v>
      </c>
      <c r="BX148" s="15">
        <v>13404</v>
      </c>
      <c r="BY148" s="15">
        <v>111696</v>
      </c>
      <c r="BZ148" s="15">
        <v>49493</v>
      </c>
      <c r="CA148" s="15">
        <v>0</v>
      </c>
      <c r="CB148" s="15">
        <v>286289</v>
      </c>
      <c r="CC148" s="15">
        <v>2055698</v>
      </c>
      <c r="CD148" s="15">
        <v>129721</v>
      </c>
      <c r="CE148" s="15">
        <v>0</v>
      </c>
      <c r="CF148" s="14">
        <f t="shared" si="61"/>
        <v>2291718.4375</v>
      </c>
      <c r="CG148" s="18"/>
      <c r="CH148" s="16"/>
      <c r="CI148" s="17"/>
      <c r="CJ148" s="17"/>
    </row>
    <row r="149" spans="1:88" s="13" customFormat="1" x14ac:dyDescent="0.35">
      <c r="A149" s="13">
        <v>1030630446</v>
      </c>
      <c r="B149" s="17" t="s">
        <v>95</v>
      </c>
      <c r="C149" s="17" t="s">
        <v>83</v>
      </c>
      <c r="D149" s="17" t="s">
        <v>286</v>
      </c>
      <c r="E149" s="17">
        <v>6571</v>
      </c>
      <c r="F149" s="17" t="s">
        <v>88</v>
      </c>
      <c r="G149" s="17" t="s">
        <v>89</v>
      </c>
      <c r="H149" s="17">
        <v>1030630446</v>
      </c>
      <c r="I149" s="17" t="s">
        <v>253</v>
      </c>
      <c r="J149" s="17" t="s">
        <v>94</v>
      </c>
      <c r="K149" s="17">
        <v>0</v>
      </c>
      <c r="L149" s="17">
        <v>0</v>
      </c>
      <c r="M149" s="17" t="s">
        <v>96</v>
      </c>
      <c r="N149" s="19">
        <v>45842</v>
      </c>
      <c r="O149" s="19">
        <v>45849</v>
      </c>
      <c r="P149" s="20">
        <v>1423500</v>
      </c>
      <c r="Q149" s="17">
        <v>0</v>
      </c>
      <c r="R149" s="14">
        <f t="shared" si="55"/>
        <v>0</v>
      </c>
      <c r="S149" s="15">
        <v>0</v>
      </c>
      <c r="T149" s="15">
        <v>0</v>
      </c>
      <c r="U149" s="7">
        <f>+P149/230*T149*1.25</f>
        <v>0</v>
      </c>
      <c r="V149" s="15">
        <v>0</v>
      </c>
      <c r="W149" s="7">
        <f>+P149/230*V149*1.75</f>
        <v>0</v>
      </c>
      <c r="X149" s="15">
        <v>0</v>
      </c>
      <c r="Y149" s="7">
        <f t="shared" si="73"/>
        <v>0</v>
      </c>
      <c r="Z149" s="15">
        <v>0</v>
      </c>
      <c r="AA149" s="7">
        <f t="shared" si="74"/>
        <v>0</v>
      </c>
      <c r="AB149" s="15">
        <v>0</v>
      </c>
      <c r="AC149" s="14">
        <f t="shared" si="75"/>
        <v>0</v>
      </c>
      <c r="AD149" s="14">
        <f t="shared" si="56"/>
        <v>0</v>
      </c>
      <c r="AE149" s="14">
        <f t="shared" si="57"/>
        <v>0</v>
      </c>
      <c r="AF149" s="15">
        <v>0</v>
      </c>
      <c r="AG149" s="7">
        <f t="shared" si="76"/>
        <v>0</v>
      </c>
      <c r="AH149" s="15">
        <v>0</v>
      </c>
      <c r="AI149" s="7">
        <f t="shared" si="77"/>
        <v>0</v>
      </c>
      <c r="AJ149" s="15">
        <v>0</v>
      </c>
      <c r="AK149" s="14">
        <f t="shared" si="78"/>
        <v>0</v>
      </c>
      <c r="AL149" s="15">
        <v>0</v>
      </c>
      <c r="AM149" s="7">
        <f t="shared" si="79"/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9</v>
      </c>
      <c r="AS149" s="7">
        <f>+P149/230*AR149*0.35</f>
        <v>19495.760869565216</v>
      </c>
      <c r="AT149" s="14">
        <f t="shared" si="58"/>
        <v>9</v>
      </c>
      <c r="AU149" s="14">
        <f t="shared" si="58"/>
        <v>19495.760869565216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51700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4">
        <f t="shared" si="59"/>
        <v>0</v>
      </c>
      <c r="BS149" s="15">
        <v>800</v>
      </c>
      <c r="BT149" s="15">
        <v>0</v>
      </c>
      <c r="BU149" s="15">
        <v>0</v>
      </c>
      <c r="BV149" s="14">
        <f t="shared" si="60"/>
        <v>800</v>
      </c>
      <c r="BW149" s="15">
        <v>1624</v>
      </c>
      <c r="BX149" s="15">
        <v>195</v>
      </c>
      <c r="BY149" s="15">
        <v>1624</v>
      </c>
      <c r="BZ149" s="15">
        <v>846</v>
      </c>
      <c r="CA149" s="15">
        <v>0</v>
      </c>
      <c r="CB149" s="15">
        <v>4289</v>
      </c>
      <c r="CC149" s="15">
        <v>24585</v>
      </c>
      <c r="CD149" s="15">
        <v>4577</v>
      </c>
      <c r="CE149" s="15">
        <v>0</v>
      </c>
      <c r="CF149" s="14">
        <f t="shared" si="61"/>
        <v>80861.760869565216</v>
      </c>
      <c r="CG149" s="18"/>
      <c r="CH149" s="16"/>
      <c r="CI149" s="15"/>
      <c r="CJ149" s="15"/>
    </row>
    <row r="150" spans="1:88" s="13" customFormat="1" x14ac:dyDescent="0.35">
      <c r="A150" s="13">
        <v>1032504940</v>
      </c>
      <c r="B150" s="17" t="s">
        <v>95</v>
      </c>
      <c r="C150" s="17" t="s">
        <v>83</v>
      </c>
      <c r="D150" s="17" t="s">
        <v>286</v>
      </c>
      <c r="E150" s="17">
        <v>6571</v>
      </c>
      <c r="F150" s="17" t="s">
        <v>88</v>
      </c>
      <c r="G150" s="17" t="s">
        <v>89</v>
      </c>
      <c r="H150" s="17">
        <v>1032504940</v>
      </c>
      <c r="I150" s="17" t="s">
        <v>254</v>
      </c>
      <c r="J150" s="17" t="s">
        <v>94</v>
      </c>
      <c r="K150" s="17">
        <v>0</v>
      </c>
      <c r="L150" s="17">
        <v>0</v>
      </c>
      <c r="M150" s="17" t="s">
        <v>96</v>
      </c>
      <c r="N150" s="19">
        <v>45842</v>
      </c>
      <c r="O150" s="19">
        <v>1</v>
      </c>
      <c r="P150" s="20">
        <v>782925</v>
      </c>
      <c r="Q150" s="17">
        <v>30</v>
      </c>
      <c r="R150" s="14">
        <f t="shared" si="55"/>
        <v>782925</v>
      </c>
      <c r="S150" s="15">
        <v>200000</v>
      </c>
      <c r="T150" s="15">
        <v>6.12</v>
      </c>
      <c r="U150" s="7">
        <f>+P150/110*T150*1.25</f>
        <v>54448.875</v>
      </c>
      <c r="V150" s="15">
        <v>0</v>
      </c>
      <c r="W150" s="7">
        <f>+P150/110*V150*1.75</f>
        <v>0</v>
      </c>
      <c r="X150" s="15">
        <v>0</v>
      </c>
      <c r="Y150" s="7">
        <f t="shared" si="73"/>
        <v>0</v>
      </c>
      <c r="Z150" s="15">
        <v>0</v>
      </c>
      <c r="AA150" s="7">
        <f t="shared" si="74"/>
        <v>0</v>
      </c>
      <c r="AB150" s="15">
        <v>0</v>
      </c>
      <c r="AC150" s="14">
        <f t="shared" si="75"/>
        <v>0</v>
      </c>
      <c r="AD150" s="14">
        <f t="shared" si="56"/>
        <v>6.12</v>
      </c>
      <c r="AE150" s="14">
        <f t="shared" si="57"/>
        <v>54448.875</v>
      </c>
      <c r="AF150" s="15">
        <v>0</v>
      </c>
      <c r="AG150" s="7">
        <f t="shared" si="76"/>
        <v>0</v>
      </c>
      <c r="AH150" s="15">
        <v>0</v>
      </c>
      <c r="AI150" s="7">
        <f t="shared" si="77"/>
        <v>0</v>
      </c>
      <c r="AJ150" s="15">
        <v>0</v>
      </c>
      <c r="AK150" s="14">
        <f t="shared" si="78"/>
        <v>0</v>
      </c>
      <c r="AL150" s="15">
        <v>0</v>
      </c>
      <c r="AM150" s="7">
        <f t="shared" si="79"/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7">
        <f>+P150/110*AR150*0.35</f>
        <v>0</v>
      </c>
      <c r="AT150" s="14">
        <f t="shared" si="58"/>
        <v>0</v>
      </c>
      <c r="AU150" s="14">
        <f t="shared" si="58"/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40000</v>
      </c>
      <c r="BD150" s="15">
        <v>0</v>
      </c>
      <c r="BE150" s="15">
        <v>0</v>
      </c>
      <c r="BF150" s="15">
        <v>0</v>
      </c>
      <c r="BG150" s="15">
        <v>0</v>
      </c>
      <c r="BH150" s="15">
        <v>29372</v>
      </c>
      <c r="BI150" s="15">
        <v>0</v>
      </c>
      <c r="BJ150" s="15">
        <v>0</v>
      </c>
      <c r="BK150" s="15">
        <v>51700</v>
      </c>
      <c r="BL150" s="15">
        <v>0</v>
      </c>
      <c r="BM150" s="15">
        <v>0</v>
      </c>
      <c r="BN150" s="15">
        <v>0</v>
      </c>
      <c r="BO150" s="15">
        <v>0</v>
      </c>
      <c r="BP150" s="15">
        <v>170860</v>
      </c>
      <c r="BQ150" s="15">
        <v>34700</v>
      </c>
      <c r="BR150" s="14">
        <f t="shared" si="59"/>
        <v>205560</v>
      </c>
      <c r="BS150" s="15">
        <v>33500</v>
      </c>
      <c r="BT150" s="15">
        <v>0</v>
      </c>
      <c r="BU150" s="15">
        <v>0</v>
      </c>
      <c r="BV150" s="14">
        <f t="shared" si="60"/>
        <v>33500</v>
      </c>
      <c r="BW150" s="15">
        <v>88892</v>
      </c>
      <c r="BX150" s="15">
        <v>10667</v>
      </c>
      <c r="BY150" s="15">
        <v>88892</v>
      </c>
      <c r="BZ150" s="15">
        <v>38122</v>
      </c>
      <c r="CA150" s="15">
        <v>0</v>
      </c>
      <c r="CB150" s="15">
        <v>226573</v>
      </c>
      <c r="CC150" s="15">
        <v>1572380</v>
      </c>
      <c r="CD150" s="15">
        <v>97444</v>
      </c>
      <c r="CE150" s="15">
        <v>0</v>
      </c>
      <c r="CF150" s="14">
        <f t="shared" si="61"/>
        <v>1721522.875</v>
      </c>
      <c r="CG150" s="18"/>
      <c r="CH150" s="16"/>
      <c r="CI150" s="17"/>
      <c r="CJ150" s="15"/>
    </row>
    <row r="151" spans="1:88" s="13" customFormat="1" x14ac:dyDescent="0.35">
      <c r="A151" s="13">
        <v>1016012109</v>
      </c>
      <c r="B151" s="17" t="s">
        <v>95</v>
      </c>
      <c r="C151" s="17" t="s">
        <v>83</v>
      </c>
      <c r="D151" s="17" t="s">
        <v>286</v>
      </c>
      <c r="E151" s="17">
        <v>6571</v>
      </c>
      <c r="F151" s="17" t="s">
        <v>88</v>
      </c>
      <c r="G151" s="17" t="s">
        <v>89</v>
      </c>
      <c r="H151" s="17">
        <v>1016012109</v>
      </c>
      <c r="I151" s="17" t="s">
        <v>255</v>
      </c>
      <c r="J151" s="17" t="s">
        <v>94</v>
      </c>
      <c r="K151" s="17">
        <v>0</v>
      </c>
      <c r="L151" s="17">
        <v>0</v>
      </c>
      <c r="M151" s="17" t="s">
        <v>96</v>
      </c>
      <c r="N151" s="19">
        <v>45842</v>
      </c>
      <c r="O151" s="19">
        <v>1</v>
      </c>
      <c r="P151" s="20">
        <v>1423500</v>
      </c>
      <c r="Q151" s="17">
        <v>30</v>
      </c>
      <c r="R151" s="14">
        <f t="shared" si="55"/>
        <v>1423500</v>
      </c>
      <c r="S151" s="15">
        <v>200000</v>
      </c>
      <c r="T151" s="15">
        <v>0</v>
      </c>
      <c r="U151" s="7">
        <f t="shared" si="83"/>
        <v>0</v>
      </c>
      <c r="V151" s="15">
        <v>0</v>
      </c>
      <c r="W151" s="7">
        <f t="shared" si="84"/>
        <v>0</v>
      </c>
      <c r="X151" s="15">
        <v>0</v>
      </c>
      <c r="Y151" s="7">
        <f t="shared" si="73"/>
        <v>0</v>
      </c>
      <c r="Z151" s="15">
        <v>0</v>
      </c>
      <c r="AA151" s="7">
        <f t="shared" si="74"/>
        <v>0</v>
      </c>
      <c r="AB151" s="15">
        <v>0</v>
      </c>
      <c r="AC151" s="14">
        <f t="shared" si="75"/>
        <v>0</v>
      </c>
      <c r="AD151" s="14">
        <f t="shared" si="56"/>
        <v>0</v>
      </c>
      <c r="AE151" s="14">
        <f t="shared" si="57"/>
        <v>0</v>
      </c>
      <c r="AF151" s="15">
        <v>0</v>
      </c>
      <c r="AG151" s="7">
        <f t="shared" si="76"/>
        <v>0</v>
      </c>
      <c r="AH151" s="15">
        <v>0</v>
      </c>
      <c r="AI151" s="7">
        <f t="shared" si="77"/>
        <v>0</v>
      </c>
      <c r="AJ151" s="15">
        <v>0</v>
      </c>
      <c r="AK151" s="14">
        <f t="shared" si="78"/>
        <v>0</v>
      </c>
      <c r="AL151" s="15">
        <v>0</v>
      </c>
      <c r="AM151" s="7">
        <f t="shared" si="79"/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55.29</v>
      </c>
      <c r="AS151" s="7">
        <f t="shared" si="85"/>
        <v>125213.00113636361</v>
      </c>
      <c r="AT151" s="14">
        <f t="shared" si="58"/>
        <v>55.29</v>
      </c>
      <c r="AU151" s="14">
        <f t="shared" si="58"/>
        <v>125213.00113636361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51700</v>
      </c>
      <c r="BL151" s="15">
        <v>0</v>
      </c>
      <c r="BM151" s="15">
        <v>0</v>
      </c>
      <c r="BN151" s="15">
        <v>0</v>
      </c>
      <c r="BO151" s="15">
        <v>0</v>
      </c>
      <c r="BP151" s="15">
        <v>185851</v>
      </c>
      <c r="BQ151" s="15">
        <v>37800</v>
      </c>
      <c r="BR151" s="14">
        <f t="shared" si="59"/>
        <v>223651</v>
      </c>
      <c r="BS151" s="15">
        <v>62000</v>
      </c>
      <c r="BT151" s="15">
        <v>0</v>
      </c>
      <c r="BU151" s="15">
        <v>0</v>
      </c>
      <c r="BV151" s="14">
        <f t="shared" si="60"/>
        <v>62000</v>
      </c>
      <c r="BW151" s="15">
        <v>145720</v>
      </c>
      <c r="BX151" s="15">
        <v>17487</v>
      </c>
      <c r="BY151" s="15">
        <v>145720</v>
      </c>
      <c r="BZ151" s="15">
        <v>67214</v>
      </c>
      <c r="CA151" s="15">
        <v>0</v>
      </c>
      <c r="CB151" s="15">
        <v>376141</v>
      </c>
      <c r="CC151" s="15">
        <v>2410505</v>
      </c>
      <c r="CD151" s="15">
        <v>147734</v>
      </c>
      <c r="CE151" s="15">
        <v>0</v>
      </c>
      <c r="CF151" s="14">
        <f t="shared" si="61"/>
        <v>2609939.0011363635</v>
      </c>
      <c r="CG151" s="18"/>
      <c r="CH151" s="16"/>
      <c r="CI151" s="17"/>
      <c r="CJ151" s="17"/>
    </row>
    <row r="152" spans="1:88" s="13" customFormat="1" x14ac:dyDescent="0.35">
      <c r="A152" s="13">
        <v>1052969544</v>
      </c>
      <c r="B152" s="17" t="s">
        <v>95</v>
      </c>
      <c r="C152" s="17" t="s">
        <v>83</v>
      </c>
      <c r="D152" s="17" t="s">
        <v>286</v>
      </c>
      <c r="E152" s="17">
        <v>6563</v>
      </c>
      <c r="F152" s="17" t="s">
        <v>84</v>
      </c>
      <c r="G152" s="17" t="s">
        <v>85</v>
      </c>
      <c r="H152" s="17">
        <v>1052969544</v>
      </c>
      <c r="I152" s="17" t="s">
        <v>256</v>
      </c>
      <c r="J152" s="17" t="s">
        <v>94</v>
      </c>
      <c r="K152" s="17">
        <v>0</v>
      </c>
      <c r="L152" s="17">
        <v>0</v>
      </c>
      <c r="M152" s="17" t="s">
        <v>96</v>
      </c>
      <c r="N152" s="19">
        <v>45845</v>
      </c>
      <c r="O152" s="19">
        <v>1</v>
      </c>
      <c r="P152" s="20">
        <v>1423500</v>
      </c>
      <c r="Q152" s="17">
        <v>30</v>
      </c>
      <c r="R152" s="14">
        <f t="shared" si="55"/>
        <v>1423500</v>
      </c>
      <c r="S152" s="15">
        <v>200000</v>
      </c>
      <c r="T152" s="15">
        <v>0</v>
      </c>
      <c r="U152" s="7">
        <f t="shared" si="83"/>
        <v>0</v>
      </c>
      <c r="V152" s="15">
        <v>2</v>
      </c>
      <c r="W152" s="7">
        <f t="shared" si="84"/>
        <v>22646.590909090908</v>
      </c>
      <c r="X152" s="15">
        <v>0</v>
      </c>
      <c r="Y152" s="7">
        <f t="shared" si="73"/>
        <v>0</v>
      </c>
      <c r="Z152" s="15">
        <v>0</v>
      </c>
      <c r="AA152" s="7">
        <f t="shared" si="74"/>
        <v>0</v>
      </c>
      <c r="AB152" s="15">
        <v>0</v>
      </c>
      <c r="AC152" s="14">
        <f t="shared" si="75"/>
        <v>0</v>
      </c>
      <c r="AD152" s="14">
        <f t="shared" si="56"/>
        <v>2</v>
      </c>
      <c r="AE152" s="14">
        <f t="shared" si="57"/>
        <v>22646.590909090908</v>
      </c>
      <c r="AF152" s="15">
        <v>7</v>
      </c>
      <c r="AG152" s="7">
        <f t="shared" si="76"/>
        <v>81527.727272727265</v>
      </c>
      <c r="AH152" s="15">
        <v>0</v>
      </c>
      <c r="AI152" s="7">
        <f t="shared" si="77"/>
        <v>0</v>
      </c>
      <c r="AJ152" s="15">
        <v>3</v>
      </c>
      <c r="AK152" s="14">
        <f t="shared" si="78"/>
        <v>40763.86363636364</v>
      </c>
      <c r="AL152" s="15">
        <v>0</v>
      </c>
      <c r="AM152" s="7">
        <f t="shared" si="79"/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50.5</v>
      </c>
      <c r="AS152" s="7">
        <f t="shared" si="85"/>
        <v>114365.28409090907</v>
      </c>
      <c r="AT152" s="14">
        <f t="shared" si="58"/>
        <v>60.5</v>
      </c>
      <c r="AU152" s="14">
        <f t="shared" si="58"/>
        <v>236656.875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106300</v>
      </c>
      <c r="BL152" s="15">
        <v>0</v>
      </c>
      <c r="BM152" s="15">
        <v>0</v>
      </c>
      <c r="BN152" s="15">
        <v>0</v>
      </c>
      <c r="BO152" s="15">
        <v>0</v>
      </c>
      <c r="BP152" s="15">
        <v>202149</v>
      </c>
      <c r="BQ152" s="15">
        <v>41100</v>
      </c>
      <c r="BR152" s="14">
        <f t="shared" si="59"/>
        <v>243249</v>
      </c>
      <c r="BS152" s="15">
        <v>67400</v>
      </c>
      <c r="BT152" s="15">
        <v>0</v>
      </c>
      <c r="BU152" s="15">
        <v>0</v>
      </c>
      <c r="BV152" s="14">
        <f t="shared" si="60"/>
        <v>67400</v>
      </c>
      <c r="BW152" s="15">
        <v>156975</v>
      </c>
      <c r="BX152" s="15">
        <v>18838</v>
      </c>
      <c r="BY152" s="15">
        <v>156975</v>
      </c>
      <c r="BZ152" s="15">
        <v>73075</v>
      </c>
      <c r="CA152" s="15">
        <v>0</v>
      </c>
      <c r="CB152" s="15">
        <v>405863</v>
      </c>
      <c r="CC152" s="15">
        <v>2600286</v>
      </c>
      <c r="CD152" s="16">
        <v>163367.53409090918</v>
      </c>
      <c r="CE152" s="15">
        <v>0</v>
      </c>
      <c r="CF152" s="14">
        <f t="shared" si="61"/>
        <v>2868983</v>
      </c>
      <c r="CG152" s="18"/>
      <c r="CH152" s="16"/>
      <c r="CI152" s="22"/>
      <c r="CJ152" s="17"/>
    </row>
    <row r="153" spans="1:88" s="13" customFormat="1" x14ac:dyDescent="0.35">
      <c r="A153" s="13">
        <v>1003741968</v>
      </c>
      <c r="B153" s="17" t="s">
        <v>95</v>
      </c>
      <c r="C153" s="17" t="s">
        <v>83</v>
      </c>
      <c r="D153" s="17" t="s">
        <v>286</v>
      </c>
      <c r="E153" s="17">
        <v>6563</v>
      </c>
      <c r="F153" s="17" t="s">
        <v>84</v>
      </c>
      <c r="G153" s="17" t="s">
        <v>85</v>
      </c>
      <c r="H153" s="17">
        <v>1003741968</v>
      </c>
      <c r="I153" s="17" t="s">
        <v>257</v>
      </c>
      <c r="J153" s="17" t="s">
        <v>94</v>
      </c>
      <c r="K153" s="17">
        <v>0</v>
      </c>
      <c r="L153" s="17">
        <v>0</v>
      </c>
      <c r="M153" s="17" t="s">
        <v>96</v>
      </c>
      <c r="N153" s="19">
        <v>45845</v>
      </c>
      <c r="O153" s="19">
        <v>45851</v>
      </c>
      <c r="P153" s="20">
        <v>1423500</v>
      </c>
      <c r="Q153" s="17">
        <v>-2</v>
      </c>
      <c r="R153" s="14">
        <f t="shared" si="55"/>
        <v>-94900</v>
      </c>
      <c r="S153" s="15">
        <v>-13333</v>
      </c>
      <c r="T153" s="15">
        <v>0</v>
      </c>
      <c r="U153" s="7">
        <f t="shared" si="83"/>
        <v>0</v>
      </c>
      <c r="V153" s="15">
        <v>0</v>
      </c>
      <c r="W153" s="7">
        <f t="shared" si="84"/>
        <v>0</v>
      </c>
      <c r="X153" s="15">
        <v>0</v>
      </c>
      <c r="Y153" s="7">
        <f t="shared" si="73"/>
        <v>0</v>
      </c>
      <c r="Z153" s="15">
        <v>0</v>
      </c>
      <c r="AA153" s="7">
        <f t="shared" si="74"/>
        <v>0</v>
      </c>
      <c r="AB153" s="15">
        <v>0</v>
      </c>
      <c r="AC153" s="14">
        <f t="shared" si="75"/>
        <v>0</v>
      </c>
      <c r="AD153" s="14">
        <f t="shared" si="56"/>
        <v>0</v>
      </c>
      <c r="AE153" s="14">
        <f t="shared" si="57"/>
        <v>0</v>
      </c>
      <c r="AF153" s="15">
        <v>0</v>
      </c>
      <c r="AG153" s="7">
        <f t="shared" si="76"/>
        <v>0</v>
      </c>
      <c r="AH153" s="15">
        <v>0</v>
      </c>
      <c r="AI153" s="7">
        <f t="shared" si="77"/>
        <v>0</v>
      </c>
      <c r="AJ153" s="15">
        <v>0</v>
      </c>
      <c r="AK153" s="14">
        <f t="shared" si="78"/>
        <v>0</v>
      </c>
      <c r="AL153" s="15">
        <v>0</v>
      </c>
      <c r="AM153" s="7">
        <f t="shared" si="79"/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7">
        <f t="shared" si="85"/>
        <v>0</v>
      </c>
      <c r="AT153" s="14">
        <f t="shared" si="58"/>
        <v>0</v>
      </c>
      <c r="AU153" s="14">
        <f t="shared" si="58"/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23670</v>
      </c>
      <c r="BI153" s="15">
        <v>0</v>
      </c>
      <c r="BJ153" s="15">
        <v>0</v>
      </c>
      <c r="BK153" s="15">
        <v>106300</v>
      </c>
      <c r="BL153" s="15">
        <v>0</v>
      </c>
      <c r="BM153" s="15">
        <v>0</v>
      </c>
      <c r="BN153" s="15">
        <v>0</v>
      </c>
      <c r="BO153" s="15">
        <v>0</v>
      </c>
      <c r="BP153" s="15">
        <v>-11390</v>
      </c>
      <c r="BQ153" s="15">
        <v>-2400</v>
      </c>
      <c r="BR153" s="14">
        <f t="shared" si="59"/>
        <v>-13790</v>
      </c>
      <c r="BS153" s="15">
        <v>-3800</v>
      </c>
      <c r="BT153" s="15">
        <v>0</v>
      </c>
      <c r="BU153" s="15">
        <v>0</v>
      </c>
      <c r="BV153" s="14">
        <f t="shared" si="60"/>
        <v>-3800</v>
      </c>
      <c r="BW153" s="15">
        <v>-9019</v>
      </c>
      <c r="BX153" s="15">
        <v>-1083</v>
      </c>
      <c r="BY153" s="15">
        <v>-9019</v>
      </c>
      <c r="BZ153" s="15">
        <v>-4118</v>
      </c>
      <c r="CA153" s="15">
        <v>0</v>
      </c>
      <c r="CB153" s="15">
        <v>-23239</v>
      </c>
      <c r="CC153" s="15">
        <v>-125392</v>
      </c>
      <c r="CD153" s="15">
        <v>-1145</v>
      </c>
      <c r="CE153" s="15">
        <v>0</v>
      </c>
      <c r="CF153" s="14">
        <f t="shared" si="61"/>
        <v>-20237</v>
      </c>
      <c r="CG153" s="18"/>
      <c r="CH153" s="16"/>
      <c r="CI153" s="17"/>
      <c r="CJ153" s="17"/>
    </row>
    <row r="154" spans="1:88" s="13" customFormat="1" x14ac:dyDescent="0.35">
      <c r="A154" s="13">
        <v>1001176600</v>
      </c>
      <c r="B154" s="17" t="s">
        <v>95</v>
      </c>
      <c r="C154" s="17" t="s">
        <v>83</v>
      </c>
      <c r="D154" s="17" t="s">
        <v>286</v>
      </c>
      <c r="E154" s="17">
        <v>6563</v>
      </c>
      <c r="F154" s="17" t="s">
        <v>84</v>
      </c>
      <c r="G154" s="17" t="s">
        <v>85</v>
      </c>
      <c r="H154" s="17">
        <v>1001176600</v>
      </c>
      <c r="I154" s="17" t="s">
        <v>258</v>
      </c>
      <c r="J154" s="17" t="s">
        <v>94</v>
      </c>
      <c r="K154" s="17">
        <v>0</v>
      </c>
      <c r="L154" s="17">
        <v>0</v>
      </c>
      <c r="M154" s="17" t="s">
        <v>96</v>
      </c>
      <c r="N154" s="19">
        <v>45845</v>
      </c>
      <c r="O154" s="19">
        <v>45870</v>
      </c>
      <c r="P154" s="20">
        <v>1423500</v>
      </c>
      <c r="Q154" s="17">
        <v>1</v>
      </c>
      <c r="R154" s="14">
        <f t="shared" si="55"/>
        <v>47450</v>
      </c>
      <c r="S154" s="15">
        <v>6667</v>
      </c>
      <c r="T154" s="15">
        <v>0</v>
      </c>
      <c r="U154" s="7">
        <f t="shared" si="83"/>
        <v>0</v>
      </c>
      <c r="V154" s="15">
        <v>0</v>
      </c>
      <c r="W154" s="7">
        <f t="shared" si="84"/>
        <v>0</v>
      </c>
      <c r="X154" s="15">
        <v>0</v>
      </c>
      <c r="Y154" s="7">
        <f t="shared" si="73"/>
        <v>0</v>
      </c>
      <c r="Z154" s="15">
        <v>0</v>
      </c>
      <c r="AA154" s="7">
        <f t="shared" si="74"/>
        <v>0</v>
      </c>
      <c r="AB154" s="15">
        <v>0</v>
      </c>
      <c r="AC154" s="14">
        <f t="shared" si="75"/>
        <v>0</v>
      </c>
      <c r="AD154" s="14">
        <f t="shared" si="56"/>
        <v>0</v>
      </c>
      <c r="AE154" s="14">
        <f t="shared" si="57"/>
        <v>0</v>
      </c>
      <c r="AF154" s="15">
        <v>7</v>
      </c>
      <c r="AG154" s="7">
        <f t="shared" si="76"/>
        <v>81527.727272727265</v>
      </c>
      <c r="AH154" s="15">
        <v>0</v>
      </c>
      <c r="AI154" s="7">
        <f t="shared" si="77"/>
        <v>0</v>
      </c>
      <c r="AJ154" s="15">
        <v>1</v>
      </c>
      <c r="AK154" s="14">
        <f t="shared" si="78"/>
        <v>13587.954545454546</v>
      </c>
      <c r="AL154" s="15">
        <v>0</v>
      </c>
      <c r="AM154" s="7">
        <f t="shared" si="79"/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9</v>
      </c>
      <c r="AS154" s="7">
        <f t="shared" si="85"/>
        <v>20381.931818181816</v>
      </c>
      <c r="AT154" s="14">
        <f t="shared" si="58"/>
        <v>17</v>
      </c>
      <c r="AU154" s="14">
        <f t="shared" si="58"/>
        <v>115497.61363636362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-324700</v>
      </c>
      <c r="BI154" s="15">
        <v>0</v>
      </c>
      <c r="BJ154" s="15">
        <v>0</v>
      </c>
      <c r="BK154" s="15">
        <v>106300</v>
      </c>
      <c r="BL154" s="15">
        <v>0</v>
      </c>
      <c r="BM154" s="15">
        <v>0</v>
      </c>
      <c r="BN154" s="15">
        <v>0</v>
      </c>
      <c r="BO154" s="15">
        <v>0</v>
      </c>
      <c r="BP154" s="15">
        <v>5704</v>
      </c>
      <c r="BQ154" s="15">
        <v>1200</v>
      </c>
      <c r="BR154" s="14">
        <f t="shared" si="59"/>
        <v>6904</v>
      </c>
      <c r="BS154" s="15">
        <v>-1600</v>
      </c>
      <c r="BT154" s="15">
        <v>0</v>
      </c>
      <c r="BU154" s="15">
        <v>0</v>
      </c>
      <c r="BV154" s="14">
        <f t="shared" si="60"/>
        <v>-1600</v>
      </c>
      <c r="BW154" s="15">
        <v>-12896</v>
      </c>
      <c r="BX154" s="15">
        <v>-1548</v>
      </c>
      <c r="BY154" s="15">
        <v>-12896</v>
      </c>
      <c r="BZ154" s="15">
        <v>-5270</v>
      </c>
      <c r="CA154" s="15">
        <v>0</v>
      </c>
      <c r="CB154" s="15">
        <v>-32610</v>
      </c>
      <c r="CC154" s="15">
        <v>-182068</v>
      </c>
      <c r="CD154" s="16">
        <v>-4222.6136363636178</v>
      </c>
      <c r="CE154" s="15">
        <v>0</v>
      </c>
      <c r="CF154" s="14">
        <f t="shared" si="61"/>
        <v>-80314</v>
      </c>
      <c r="CG154" s="18"/>
      <c r="CH154" s="16"/>
      <c r="CI154" s="22"/>
      <c r="CJ154" s="17"/>
    </row>
    <row r="155" spans="1:88" s="13" customFormat="1" x14ac:dyDescent="0.35">
      <c r="A155" s="13">
        <v>1026298885</v>
      </c>
      <c r="B155" s="17" t="s">
        <v>95</v>
      </c>
      <c r="C155" s="17" t="s">
        <v>83</v>
      </c>
      <c r="D155" s="17" t="s">
        <v>286</v>
      </c>
      <c r="E155" s="17">
        <v>6571</v>
      </c>
      <c r="F155" s="17" t="s">
        <v>88</v>
      </c>
      <c r="G155" s="17" t="s">
        <v>89</v>
      </c>
      <c r="H155" s="17">
        <v>1026298885</v>
      </c>
      <c r="I155" s="17" t="s">
        <v>289</v>
      </c>
      <c r="J155" s="17" t="s">
        <v>94</v>
      </c>
      <c r="K155" s="17">
        <v>0</v>
      </c>
      <c r="L155" s="17">
        <v>0</v>
      </c>
      <c r="M155" s="17" t="s">
        <v>96</v>
      </c>
      <c r="N155" s="19">
        <v>45849</v>
      </c>
      <c r="O155" s="19">
        <v>45870</v>
      </c>
      <c r="P155" s="20">
        <v>1423500</v>
      </c>
      <c r="Q155" s="17">
        <v>1</v>
      </c>
      <c r="R155" s="14">
        <f t="shared" si="55"/>
        <v>47450</v>
      </c>
      <c r="S155" s="15">
        <v>6667</v>
      </c>
      <c r="T155" s="15">
        <v>0</v>
      </c>
      <c r="U155" s="7">
        <f t="shared" si="83"/>
        <v>0</v>
      </c>
      <c r="V155" s="15">
        <v>0</v>
      </c>
      <c r="W155" s="7">
        <f t="shared" si="84"/>
        <v>0</v>
      </c>
      <c r="X155" s="15">
        <v>0</v>
      </c>
      <c r="Y155" s="7">
        <f t="shared" si="73"/>
        <v>0</v>
      </c>
      <c r="Z155" s="15">
        <v>0</v>
      </c>
      <c r="AA155" s="7">
        <f t="shared" si="74"/>
        <v>0</v>
      </c>
      <c r="AB155" s="15">
        <v>0</v>
      </c>
      <c r="AC155" s="14">
        <f t="shared" si="75"/>
        <v>0</v>
      </c>
      <c r="AD155" s="14">
        <f t="shared" si="56"/>
        <v>0</v>
      </c>
      <c r="AE155" s="14">
        <f t="shared" si="57"/>
        <v>0</v>
      </c>
      <c r="AF155" s="15">
        <v>0</v>
      </c>
      <c r="AG155" s="7">
        <f t="shared" si="76"/>
        <v>0</v>
      </c>
      <c r="AH155" s="15">
        <v>0</v>
      </c>
      <c r="AI155" s="7">
        <f t="shared" si="77"/>
        <v>0</v>
      </c>
      <c r="AJ155" s="15">
        <v>0</v>
      </c>
      <c r="AK155" s="14">
        <f t="shared" si="78"/>
        <v>0</v>
      </c>
      <c r="AL155" s="15">
        <v>0</v>
      </c>
      <c r="AM155" s="7">
        <f t="shared" si="79"/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38.7667</v>
      </c>
      <c r="AS155" s="7">
        <f t="shared" si="85"/>
        <v>87793.359579545446</v>
      </c>
      <c r="AT155" s="14">
        <f t="shared" si="58"/>
        <v>38.7667</v>
      </c>
      <c r="AU155" s="14">
        <f t="shared" si="58"/>
        <v>87793.359579545446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-216467</v>
      </c>
      <c r="BI155" s="15">
        <v>0</v>
      </c>
      <c r="BJ155" s="15">
        <v>0</v>
      </c>
      <c r="BK155" s="15">
        <v>51700</v>
      </c>
      <c r="BL155" s="15">
        <v>0</v>
      </c>
      <c r="BM155" s="15">
        <v>0</v>
      </c>
      <c r="BN155" s="15">
        <v>0</v>
      </c>
      <c r="BO155" s="15">
        <v>0</v>
      </c>
      <c r="BP155" s="15">
        <v>5704</v>
      </c>
      <c r="BQ155" s="15">
        <v>1200</v>
      </c>
      <c r="BR155" s="14">
        <f t="shared" si="59"/>
        <v>6904</v>
      </c>
      <c r="BS155" s="15">
        <v>-1500</v>
      </c>
      <c r="BT155" s="15">
        <v>0</v>
      </c>
      <c r="BU155" s="15">
        <v>0</v>
      </c>
      <c r="BV155" s="14">
        <f t="shared" si="60"/>
        <v>-1500</v>
      </c>
      <c r="BW155" s="15">
        <v>-6213</v>
      </c>
      <c r="BX155" s="15">
        <v>-746</v>
      </c>
      <c r="BY155" s="15">
        <v>-6213</v>
      </c>
      <c r="BZ155" s="15">
        <v>-2368</v>
      </c>
      <c r="CA155" s="15">
        <v>0</v>
      </c>
      <c r="CB155" s="15">
        <v>-15540</v>
      </c>
      <c r="CC155" s="15">
        <v>-84693</v>
      </c>
      <c r="CD155" s="15">
        <v>-1979</v>
      </c>
      <c r="CE155" s="15">
        <v>0</v>
      </c>
      <c r="CF155" s="14">
        <f t="shared" si="61"/>
        <v>-34971.640420454554</v>
      </c>
      <c r="CG155" s="18"/>
      <c r="CH155" s="16"/>
      <c r="CI155" s="17"/>
      <c r="CJ155" s="17"/>
    </row>
    <row r="156" spans="1:88" s="13" customFormat="1" x14ac:dyDescent="0.35">
      <c r="A156" s="13">
        <v>1000250150</v>
      </c>
      <c r="B156" s="17" t="s">
        <v>95</v>
      </c>
      <c r="C156" s="17" t="s">
        <v>83</v>
      </c>
      <c r="D156" s="17" t="s">
        <v>286</v>
      </c>
      <c r="E156" s="17">
        <v>6571</v>
      </c>
      <c r="F156" s="17" t="s">
        <v>88</v>
      </c>
      <c r="G156" s="17" t="s">
        <v>89</v>
      </c>
      <c r="H156" s="17">
        <v>1000250150</v>
      </c>
      <c r="I156" s="17" t="s">
        <v>259</v>
      </c>
      <c r="J156" s="17" t="s">
        <v>94</v>
      </c>
      <c r="K156" s="17">
        <v>0</v>
      </c>
      <c r="L156" s="17">
        <v>0</v>
      </c>
      <c r="M156" s="17" t="s">
        <v>96</v>
      </c>
      <c r="N156" s="19">
        <v>45849</v>
      </c>
      <c r="O156" s="19">
        <v>45854</v>
      </c>
      <c r="P156" s="20">
        <v>1423500</v>
      </c>
      <c r="Q156" s="17">
        <v>0</v>
      </c>
      <c r="R156" s="14">
        <f t="shared" si="55"/>
        <v>0</v>
      </c>
      <c r="S156" s="15">
        <v>0</v>
      </c>
      <c r="T156" s="15">
        <v>0</v>
      </c>
      <c r="U156" s="7">
        <f t="shared" si="83"/>
        <v>0</v>
      </c>
      <c r="V156" s="15">
        <v>0</v>
      </c>
      <c r="W156" s="7">
        <f t="shared" si="84"/>
        <v>0</v>
      </c>
      <c r="X156" s="15">
        <v>0</v>
      </c>
      <c r="Y156" s="7">
        <f t="shared" si="73"/>
        <v>0</v>
      </c>
      <c r="Z156" s="15">
        <v>0</v>
      </c>
      <c r="AA156" s="7">
        <f t="shared" si="74"/>
        <v>0</v>
      </c>
      <c r="AB156" s="15">
        <v>0</v>
      </c>
      <c r="AC156" s="14">
        <f t="shared" si="75"/>
        <v>0</v>
      </c>
      <c r="AD156" s="14">
        <f t="shared" si="56"/>
        <v>0</v>
      </c>
      <c r="AE156" s="14">
        <f t="shared" si="57"/>
        <v>0</v>
      </c>
      <c r="AF156" s="15">
        <v>0</v>
      </c>
      <c r="AG156" s="7">
        <f t="shared" si="76"/>
        <v>0</v>
      </c>
      <c r="AH156" s="15">
        <v>0</v>
      </c>
      <c r="AI156" s="7">
        <f t="shared" si="77"/>
        <v>0</v>
      </c>
      <c r="AJ156" s="15">
        <v>0</v>
      </c>
      <c r="AK156" s="14">
        <f t="shared" si="78"/>
        <v>0</v>
      </c>
      <c r="AL156" s="15">
        <v>0</v>
      </c>
      <c r="AM156" s="7">
        <f t="shared" si="79"/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6</v>
      </c>
      <c r="AS156" s="7">
        <f t="shared" si="85"/>
        <v>13587.954545454544</v>
      </c>
      <c r="AT156" s="14">
        <f t="shared" si="58"/>
        <v>6</v>
      </c>
      <c r="AU156" s="14">
        <f t="shared" si="58"/>
        <v>13587.954545454544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51700</v>
      </c>
      <c r="BL156" s="15">
        <v>0</v>
      </c>
      <c r="BM156" s="15">
        <v>0</v>
      </c>
      <c r="BN156" s="15">
        <v>0</v>
      </c>
      <c r="BO156" s="15">
        <v>0</v>
      </c>
      <c r="BP156" s="15">
        <v>1724</v>
      </c>
      <c r="BQ156" s="15">
        <v>300</v>
      </c>
      <c r="BR156" s="14">
        <f t="shared" si="59"/>
        <v>2024</v>
      </c>
      <c r="BS156" s="15">
        <v>600</v>
      </c>
      <c r="BT156" s="15">
        <v>0</v>
      </c>
      <c r="BU156" s="15">
        <v>0</v>
      </c>
      <c r="BV156" s="14">
        <f t="shared" si="60"/>
        <v>600</v>
      </c>
      <c r="BW156" s="15">
        <v>1133</v>
      </c>
      <c r="BX156" s="15">
        <v>136</v>
      </c>
      <c r="BY156" s="15">
        <v>1133</v>
      </c>
      <c r="BZ156" s="15">
        <v>590</v>
      </c>
      <c r="CA156" s="15">
        <v>0</v>
      </c>
      <c r="CB156" s="15">
        <v>2992</v>
      </c>
      <c r="CC156" s="15">
        <v>19204</v>
      </c>
      <c r="CD156" s="15">
        <v>4253</v>
      </c>
      <c r="CE156" s="15">
        <v>0</v>
      </c>
      <c r="CF156" s="14">
        <f t="shared" si="61"/>
        <v>75156.954545454544</v>
      </c>
      <c r="CG156" s="18"/>
      <c r="CH156" s="16"/>
      <c r="CI156" s="17"/>
      <c r="CJ156" s="17"/>
    </row>
    <row r="157" spans="1:88" s="13" customFormat="1" x14ac:dyDescent="0.35">
      <c r="A157" s="13">
        <v>1012401694</v>
      </c>
      <c r="B157" s="17" t="s">
        <v>95</v>
      </c>
      <c r="C157" s="17" t="s">
        <v>83</v>
      </c>
      <c r="D157" s="17" t="s">
        <v>286</v>
      </c>
      <c r="E157" s="17">
        <v>6571</v>
      </c>
      <c r="F157" s="17" t="s">
        <v>88</v>
      </c>
      <c r="G157" s="17" t="s">
        <v>89</v>
      </c>
      <c r="H157" s="17">
        <v>1012401694</v>
      </c>
      <c r="I157" s="17" t="s">
        <v>260</v>
      </c>
      <c r="J157" s="17" t="s">
        <v>94</v>
      </c>
      <c r="K157" s="17">
        <v>0</v>
      </c>
      <c r="L157" s="17">
        <v>0</v>
      </c>
      <c r="M157" s="17" t="s">
        <v>96</v>
      </c>
      <c r="N157" s="19">
        <v>45849</v>
      </c>
      <c r="O157" s="19">
        <v>1</v>
      </c>
      <c r="P157" s="20">
        <v>1423500</v>
      </c>
      <c r="Q157" s="17">
        <v>27</v>
      </c>
      <c r="R157" s="14">
        <f t="shared" si="55"/>
        <v>1281150</v>
      </c>
      <c r="S157" s="15">
        <v>180000</v>
      </c>
      <c r="T157" s="15">
        <v>0</v>
      </c>
      <c r="U157" s="7">
        <f t="shared" si="83"/>
        <v>0</v>
      </c>
      <c r="V157" s="15">
        <v>0</v>
      </c>
      <c r="W157" s="7">
        <f t="shared" si="84"/>
        <v>0</v>
      </c>
      <c r="X157" s="15">
        <v>0</v>
      </c>
      <c r="Y157" s="7">
        <f t="shared" si="73"/>
        <v>0</v>
      </c>
      <c r="Z157" s="15">
        <v>0</v>
      </c>
      <c r="AA157" s="7">
        <f t="shared" si="74"/>
        <v>0</v>
      </c>
      <c r="AB157" s="15">
        <v>0</v>
      </c>
      <c r="AC157" s="14">
        <f t="shared" si="75"/>
        <v>0</v>
      </c>
      <c r="AD157" s="14">
        <f t="shared" si="56"/>
        <v>0</v>
      </c>
      <c r="AE157" s="14">
        <f t="shared" si="57"/>
        <v>0</v>
      </c>
      <c r="AF157" s="15">
        <v>0</v>
      </c>
      <c r="AG157" s="7">
        <f t="shared" si="76"/>
        <v>0</v>
      </c>
      <c r="AH157" s="15">
        <v>0</v>
      </c>
      <c r="AI157" s="7">
        <f t="shared" si="77"/>
        <v>0</v>
      </c>
      <c r="AJ157" s="15">
        <v>0</v>
      </c>
      <c r="AK157" s="14">
        <f t="shared" si="78"/>
        <v>0</v>
      </c>
      <c r="AL157" s="15">
        <v>0</v>
      </c>
      <c r="AM157" s="7">
        <f t="shared" si="79"/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44</v>
      </c>
      <c r="AS157" s="7">
        <f t="shared" si="85"/>
        <v>99645</v>
      </c>
      <c r="AT157" s="14">
        <f t="shared" si="58"/>
        <v>44</v>
      </c>
      <c r="AU157" s="14">
        <f t="shared" si="58"/>
        <v>99645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51700</v>
      </c>
      <c r="BL157" s="15">
        <v>0</v>
      </c>
      <c r="BM157" s="15">
        <v>0</v>
      </c>
      <c r="BN157" s="15">
        <v>0</v>
      </c>
      <c r="BO157" s="15">
        <v>0</v>
      </c>
      <c r="BP157" s="15">
        <v>188568</v>
      </c>
      <c r="BQ157" s="15">
        <v>33700</v>
      </c>
      <c r="BR157" s="14">
        <f t="shared" si="59"/>
        <v>222268</v>
      </c>
      <c r="BS157" s="15">
        <v>55300</v>
      </c>
      <c r="BT157" s="15">
        <v>0</v>
      </c>
      <c r="BU157" s="15">
        <v>0</v>
      </c>
      <c r="BV157" s="14">
        <f t="shared" si="60"/>
        <v>55300</v>
      </c>
      <c r="BW157" s="15">
        <v>130061</v>
      </c>
      <c r="BX157" s="15">
        <v>15608</v>
      </c>
      <c r="BY157" s="15">
        <v>130061</v>
      </c>
      <c r="BZ157" s="15">
        <v>59926</v>
      </c>
      <c r="CA157" s="15">
        <v>0</v>
      </c>
      <c r="CB157" s="15">
        <v>335656</v>
      </c>
      <c r="CC157" s="15">
        <v>2174019</v>
      </c>
      <c r="CD157" s="15">
        <v>133545</v>
      </c>
      <c r="CE157" s="15">
        <v>0</v>
      </c>
      <c r="CF157" s="14">
        <f t="shared" si="61"/>
        <v>2359264</v>
      </c>
      <c r="CG157" s="18"/>
      <c r="CH157" s="16"/>
      <c r="CI157" s="17"/>
      <c r="CJ157" s="17"/>
    </row>
    <row r="158" spans="1:88" s="13" customFormat="1" x14ac:dyDescent="0.35">
      <c r="A158" s="13">
        <v>1030694508</v>
      </c>
      <c r="B158" s="17" t="s">
        <v>95</v>
      </c>
      <c r="C158" s="17" t="s">
        <v>83</v>
      </c>
      <c r="D158" s="17" t="s">
        <v>286</v>
      </c>
      <c r="E158" s="17">
        <v>6571</v>
      </c>
      <c r="F158" s="17" t="s">
        <v>88</v>
      </c>
      <c r="G158" s="17" t="s">
        <v>89</v>
      </c>
      <c r="H158" s="17">
        <v>1030694508</v>
      </c>
      <c r="I158" s="17" t="s">
        <v>261</v>
      </c>
      <c r="J158" s="17" t="s">
        <v>94</v>
      </c>
      <c r="K158" s="17">
        <v>0</v>
      </c>
      <c r="L158" s="17">
        <v>0</v>
      </c>
      <c r="M158" s="17" t="s">
        <v>96</v>
      </c>
      <c r="N158" s="19">
        <v>45849</v>
      </c>
      <c r="O158" s="19">
        <v>1</v>
      </c>
      <c r="P158" s="20">
        <v>782925</v>
      </c>
      <c r="Q158" s="17">
        <v>30</v>
      </c>
      <c r="R158" s="14">
        <f t="shared" si="55"/>
        <v>782925</v>
      </c>
      <c r="S158" s="15">
        <v>200000</v>
      </c>
      <c r="T158" s="15">
        <v>3.88</v>
      </c>
      <c r="U158" s="7">
        <f>+P158/110*T158*1.25</f>
        <v>34519.875</v>
      </c>
      <c r="V158" s="15">
        <v>0</v>
      </c>
      <c r="W158" s="7">
        <f>+P158/110*V158*1.75</f>
        <v>0</v>
      </c>
      <c r="X158" s="15">
        <v>0</v>
      </c>
      <c r="Y158" s="7">
        <f t="shared" si="73"/>
        <v>0</v>
      </c>
      <c r="Z158" s="15">
        <v>0</v>
      </c>
      <c r="AA158" s="7">
        <f t="shared" si="74"/>
        <v>0</v>
      </c>
      <c r="AB158" s="15">
        <v>0</v>
      </c>
      <c r="AC158" s="14">
        <f t="shared" si="75"/>
        <v>0</v>
      </c>
      <c r="AD158" s="14">
        <f t="shared" si="56"/>
        <v>3.88</v>
      </c>
      <c r="AE158" s="14">
        <f t="shared" si="57"/>
        <v>34519.875</v>
      </c>
      <c r="AF158" s="15">
        <v>0</v>
      </c>
      <c r="AG158" s="7">
        <f t="shared" si="76"/>
        <v>0</v>
      </c>
      <c r="AH158" s="15">
        <v>0</v>
      </c>
      <c r="AI158" s="7">
        <f t="shared" si="77"/>
        <v>0</v>
      </c>
      <c r="AJ158" s="15">
        <v>0</v>
      </c>
      <c r="AK158" s="14">
        <f t="shared" si="78"/>
        <v>0</v>
      </c>
      <c r="AL158" s="15">
        <v>0</v>
      </c>
      <c r="AM158" s="7">
        <f t="shared" si="79"/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7">
        <f>+P158/110*AR158*0.35</f>
        <v>0</v>
      </c>
      <c r="AT158" s="14">
        <f t="shared" si="58"/>
        <v>0</v>
      </c>
      <c r="AU158" s="14">
        <f t="shared" si="58"/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16667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51700</v>
      </c>
      <c r="BL158" s="15">
        <v>0</v>
      </c>
      <c r="BM158" s="15">
        <v>0</v>
      </c>
      <c r="BN158" s="15">
        <v>0</v>
      </c>
      <c r="BO158" s="15">
        <v>0</v>
      </c>
      <c r="BP158" s="15">
        <v>170860</v>
      </c>
      <c r="BQ158" s="15">
        <v>34700</v>
      </c>
      <c r="BR158" s="14">
        <f t="shared" si="59"/>
        <v>205560</v>
      </c>
      <c r="BS158" s="15">
        <v>32700</v>
      </c>
      <c r="BT158" s="15">
        <v>0</v>
      </c>
      <c r="BU158" s="15">
        <v>0</v>
      </c>
      <c r="BV158" s="14">
        <f t="shared" si="60"/>
        <v>32700</v>
      </c>
      <c r="BW158" s="15">
        <v>84784</v>
      </c>
      <c r="BX158" s="15">
        <v>10174</v>
      </c>
      <c r="BY158" s="15">
        <v>84784</v>
      </c>
      <c r="BZ158" s="15">
        <v>35476</v>
      </c>
      <c r="CA158" s="15">
        <v>0</v>
      </c>
      <c r="CB158" s="15">
        <v>215218</v>
      </c>
      <c r="CC158" s="15">
        <v>1487591</v>
      </c>
      <c r="CD158" s="15">
        <v>92358</v>
      </c>
      <c r="CE158" s="15">
        <v>0</v>
      </c>
      <c r="CF158" s="14">
        <f t="shared" si="61"/>
        <v>1631647.875</v>
      </c>
      <c r="CG158" s="18"/>
      <c r="CH158" s="16"/>
      <c r="CI158" s="17"/>
      <c r="CJ158" s="17"/>
    </row>
    <row r="159" spans="1:88" s="13" customFormat="1" x14ac:dyDescent="0.35">
      <c r="A159" s="13">
        <v>1118303411</v>
      </c>
      <c r="B159" s="17" t="s">
        <v>95</v>
      </c>
      <c r="C159" s="17" t="s">
        <v>83</v>
      </c>
      <c r="D159" s="17" t="s">
        <v>286</v>
      </c>
      <c r="E159" s="17">
        <v>1980</v>
      </c>
      <c r="F159" s="17" t="s">
        <v>92</v>
      </c>
      <c r="G159" s="17" t="s">
        <v>93</v>
      </c>
      <c r="H159" s="17">
        <v>1118303411</v>
      </c>
      <c r="I159" s="17" t="s">
        <v>262</v>
      </c>
      <c r="J159" s="17" t="s">
        <v>94</v>
      </c>
      <c r="K159" s="17">
        <v>0</v>
      </c>
      <c r="L159" s="17">
        <v>0</v>
      </c>
      <c r="M159" s="17" t="s">
        <v>96</v>
      </c>
      <c r="N159" s="19">
        <v>45849</v>
      </c>
      <c r="O159" s="19">
        <v>1</v>
      </c>
      <c r="P159" s="20">
        <v>1423500</v>
      </c>
      <c r="Q159" s="17">
        <v>30</v>
      </c>
      <c r="R159" s="14">
        <f t="shared" si="55"/>
        <v>1423500</v>
      </c>
      <c r="S159" s="15">
        <v>200000</v>
      </c>
      <c r="T159" s="15">
        <v>0.67</v>
      </c>
      <c r="U159" s="7">
        <f t="shared" si="83"/>
        <v>5419.0056818181811</v>
      </c>
      <c r="V159" s="15">
        <v>1</v>
      </c>
      <c r="W159" s="7">
        <f t="shared" si="84"/>
        <v>11323.295454545454</v>
      </c>
      <c r="X159" s="15">
        <v>0</v>
      </c>
      <c r="Y159" s="7">
        <f t="shared" si="73"/>
        <v>0</v>
      </c>
      <c r="Z159" s="15">
        <v>0</v>
      </c>
      <c r="AA159" s="7">
        <f t="shared" si="74"/>
        <v>0</v>
      </c>
      <c r="AB159" s="15">
        <v>0</v>
      </c>
      <c r="AC159" s="14">
        <f t="shared" si="75"/>
        <v>0</v>
      </c>
      <c r="AD159" s="14">
        <f t="shared" si="56"/>
        <v>1.67</v>
      </c>
      <c r="AE159" s="14">
        <f t="shared" si="57"/>
        <v>16742.301136363636</v>
      </c>
      <c r="AF159" s="15">
        <v>0</v>
      </c>
      <c r="AG159" s="7">
        <f t="shared" si="76"/>
        <v>0</v>
      </c>
      <c r="AH159" s="15">
        <v>0</v>
      </c>
      <c r="AI159" s="7">
        <f t="shared" si="77"/>
        <v>0</v>
      </c>
      <c r="AJ159" s="15">
        <v>0</v>
      </c>
      <c r="AK159" s="14">
        <f t="shared" si="78"/>
        <v>0</v>
      </c>
      <c r="AL159" s="15">
        <v>0</v>
      </c>
      <c r="AM159" s="7">
        <f t="shared" si="79"/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33</v>
      </c>
      <c r="AS159" s="7">
        <f t="shared" si="85"/>
        <v>74733.75</v>
      </c>
      <c r="AT159" s="14">
        <f t="shared" si="58"/>
        <v>33</v>
      </c>
      <c r="AU159" s="14">
        <f t="shared" si="58"/>
        <v>74733.75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173395</v>
      </c>
      <c r="BD159" s="15">
        <v>0</v>
      </c>
      <c r="BE159" s="15">
        <v>218816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34900</v>
      </c>
      <c r="BL159" s="15">
        <v>0</v>
      </c>
      <c r="BM159" s="15">
        <v>0</v>
      </c>
      <c r="BN159" s="15">
        <v>0</v>
      </c>
      <c r="BO159" s="15">
        <v>0</v>
      </c>
      <c r="BP159" s="15">
        <v>181801</v>
      </c>
      <c r="BQ159" s="15">
        <v>37000</v>
      </c>
      <c r="BR159" s="14">
        <f t="shared" si="59"/>
        <v>218801</v>
      </c>
      <c r="BS159" s="15">
        <v>60600</v>
      </c>
      <c r="BT159" s="15">
        <v>0</v>
      </c>
      <c r="BU159" s="15">
        <v>0</v>
      </c>
      <c r="BV159" s="14">
        <f t="shared" si="60"/>
        <v>60600</v>
      </c>
      <c r="BW159" s="15">
        <v>142909</v>
      </c>
      <c r="BX159" s="15">
        <v>17150</v>
      </c>
      <c r="BY159" s="15">
        <v>142909</v>
      </c>
      <c r="BZ159" s="15">
        <v>65749</v>
      </c>
      <c r="CA159" s="15">
        <v>0</v>
      </c>
      <c r="CB159" s="15">
        <v>368717</v>
      </c>
      <c r="CC159" s="15">
        <v>2755305</v>
      </c>
      <c r="CD159" s="15">
        <v>167414</v>
      </c>
      <c r="CE159" s="15">
        <v>0</v>
      </c>
      <c r="CF159" s="14">
        <f t="shared" si="61"/>
        <v>2957619.0511363633</v>
      </c>
      <c r="CG159" s="18"/>
      <c r="CH159" s="16"/>
      <c r="CI159" s="17"/>
      <c r="CJ159" s="17"/>
    </row>
    <row r="160" spans="1:88" s="13" customFormat="1" x14ac:dyDescent="0.35">
      <c r="A160" s="13">
        <v>1020731320</v>
      </c>
      <c r="B160" s="17" t="s">
        <v>95</v>
      </c>
      <c r="C160" s="17" t="s">
        <v>83</v>
      </c>
      <c r="D160" s="17" t="s">
        <v>286</v>
      </c>
      <c r="E160" s="17">
        <v>1980</v>
      </c>
      <c r="F160" s="17" t="s">
        <v>92</v>
      </c>
      <c r="G160" s="17" t="s">
        <v>93</v>
      </c>
      <c r="H160" s="17">
        <v>1020731320</v>
      </c>
      <c r="I160" s="17" t="s">
        <v>263</v>
      </c>
      <c r="J160" s="17" t="s">
        <v>94</v>
      </c>
      <c r="K160" s="17">
        <v>0</v>
      </c>
      <c r="L160" s="17">
        <v>0</v>
      </c>
      <c r="M160" s="17" t="s">
        <v>96</v>
      </c>
      <c r="N160" s="19">
        <v>45849</v>
      </c>
      <c r="O160" s="19">
        <v>45879</v>
      </c>
      <c r="P160" s="20">
        <v>1423500</v>
      </c>
      <c r="Q160" s="17">
        <v>10</v>
      </c>
      <c r="R160" s="14">
        <f t="shared" si="55"/>
        <v>474500</v>
      </c>
      <c r="S160" s="15">
        <v>53333</v>
      </c>
      <c r="T160" s="15">
        <v>1</v>
      </c>
      <c r="U160" s="7">
        <f t="shared" si="83"/>
        <v>8088.0681818181811</v>
      </c>
      <c r="V160" s="15">
        <v>2.0167000000000002</v>
      </c>
      <c r="W160" s="7">
        <f t="shared" si="84"/>
        <v>22835.689943181816</v>
      </c>
      <c r="X160" s="15">
        <v>0</v>
      </c>
      <c r="Y160" s="7">
        <f t="shared" si="73"/>
        <v>0</v>
      </c>
      <c r="Z160" s="15">
        <v>0.51670000000000005</v>
      </c>
      <c r="AA160" s="7">
        <f t="shared" si="74"/>
        <v>8358.2096590909096</v>
      </c>
      <c r="AB160" s="15">
        <v>0</v>
      </c>
      <c r="AC160" s="14">
        <f t="shared" si="75"/>
        <v>0</v>
      </c>
      <c r="AD160" s="14">
        <f t="shared" si="56"/>
        <v>3.5334000000000003</v>
      </c>
      <c r="AE160" s="14">
        <f t="shared" si="57"/>
        <v>39281.967784090906</v>
      </c>
      <c r="AF160" s="15">
        <v>0</v>
      </c>
      <c r="AG160" s="7">
        <f t="shared" si="76"/>
        <v>0</v>
      </c>
      <c r="AH160" s="15">
        <v>0</v>
      </c>
      <c r="AI160" s="7">
        <f t="shared" si="77"/>
        <v>0</v>
      </c>
      <c r="AJ160" s="15">
        <v>0</v>
      </c>
      <c r="AK160" s="14">
        <f t="shared" si="78"/>
        <v>0</v>
      </c>
      <c r="AL160" s="15">
        <v>0</v>
      </c>
      <c r="AM160" s="7">
        <f t="shared" si="79"/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33.9833</v>
      </c>
      <c r="AS160" s="7">
        <f t="shared" si="85"/>
        <v>76960.589284090907</v>
      </c>
      <c r="AT160" s="14">
        <f t="shared" si="58"/>
        <v>33.9833</v>
      </c>
      <c r="AU160" s="14">
        <f t="shared" si="58"/>
        <v>76960.589284090907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173395</v>
      </c>
      <c r="BD160" s="15">
        <v>0</v>
      </c>
      <c r="BE160" s="15">
        <v>218816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34900</v>
      </c>
      <c r="BL160" s="15">
        <v>0</v>
      </c>
      <c r="BM160" s="15">
        <v>0</v>
      </c>
      <c r="BN160" s="15">
        <v>0</v>
      </c>
      <c r="BO160" s="15">
        <v>0</v>
      </c>
      <c r="BP160" s="15">
        <v>71028</v>
      </c>
      <c r="BQ160" s="15">
        <v>12100</v>
      </c>
      <c r="BR160" s="14">
        <f t="shared" si="59"/>
        <v>83128</v>
      </c>
      <c r="BS160" s="15">
        <v>19900</v>
      </c>
      <c r="BT160" s="15">
        <v>0</v>
      </c>
      <c r="BU160" s="15">
        <v>0</v>
      </c>
      <c r="BV160" s="14">
        <f t="shared" si="60"/>
        <v>19900</v>
      </c>
      <c r="BW160" s="15">
        <v>53685</v>
      </c>
      <c r="BX160" s="15">
        <v>6442</v>
      </c>
      <c r="BY160" s="15">
        <v>53685</v>
      </c>
      <c r="BZ160" s="15">
        <v>25646</v>
      </c>
      <c r="CA160" s="15">
        <v>0</v>
      </c>
      <c r="CB160" s="15">
        <v>139458</v>
      </c>
      <c r="CC160" s="15">
        <v>1278940</v>
      </c>
      <c r="CD160" s="16">
        <v>79001.44293181831</v>
      </c>
      <c r="CE160" s="15">
        <v>0</v>
      </c>
      <c r="CF160" s="14">
        <f t="shared" si="61"/>
        <v>1392674</v>
      </c>
      <c r="CG160" s="18"/>
      <c r="CH160" s="16"/>
      <c r="CI160" s="22"/>
      <c r="CJ160" s="17"/>
    </row>
    <row r="161" spans="1:88" s="13" customFormat="1" x14ac:dyDescent="0.35">
      <c r="A161" s="13">
        <v>1073161818</v>
      </c>
      <c r="B161" s="17" t="s">
        <v>95</v>
      </c>
      <c r="C161" s="17" t="s">
        <v>83</v>
      </c>
      <c r="D161" s="17" t="s">
        <v>286</v>
      </c>
      <c r="E161" s="17">
        <v>6563</v>
      </c>
      <c r="F161" s="17" t="s">
        <v>84</v>
      </c>
      <c r="G161" s="17" t="s">
        <v>85</v>
      </c>
      <c r="H161" s="17">
        <v>1073161818</v>
      </c>
      <c r="I161" s="17" t="s">
        <v>264</v>
      </c>
      <c r="J161" s="17" t="s">
        <v>94</v>
      </c>
      <c r="K161" s="17">
        <v>0</v>
      </c>
      <c r="L161" s="17">
        <v>0</v>
      </c>
      <c r="M161" s="17" t="s">
        <v>96</v>
      </c>
      <c r="N161" s="19">
        <v>45855</v>
      </c>
      <c r="O161" s="19">
        <v>45870</v>
      </c>
      <c r="P161" s="20">
        <v>1423500</v>
      </c>
      <c r="Q161" s="17">
        <v>1</v>
      </c>
      <c r="R161" s="14">
        <f t="shared" si="55"/>
        <v>47450</v>
      </c>
      <c r="S161" s="15">
        <v>6667</v>
      </c>
      <c r="T161" s="15">
        <v>0</v>
      </c>
      <c r="U161" s="7">
        <f t="shared" si="83"/>
        <v>0</v>
      </c>
      <c r="V161" s="15">
        <v>0</v>
      </c>
      <c r="W161" s="7">
        <f t="shared" si="84"/>
        <v>0</v>
      </c>
      <c r="X161" s="15">
        <v>0</v>
      </c>
      <c r="Y161" s="7">
        <f t="shared" si="73"/>
        <v>0</v>
      </c>
      <c r="Z161" s="15">
        <v>0</v>
      </c>
      <c r="AA161" s="7">
        <f t="shared" si="74"/>
        <v>0</v>
      </c>
      <c r="AB161" s="15">
        <v>0</v>
      </c>
      <c r="AC161" s="14">
        <f t="shared" si="75"/>
        <v>0</v>
      </c>
      <c r="AD161" s="14">
        <f t="shared" si="56"/>
        <v>0</v>
      </c>
      <c r="AE161" s="14">
        <f t="shared" si="57"/>
        <v>0</v>
      </c>
      <c r="AF161" s="15">
        <v>0</v>
      </c>
      <c r="AG161" s="7">
        <f t="shared" si="76"/>
        <v>0</v>
      </c>
      <c r="AH161" s="15">
        <v>0</v>
      </c>
      <c r="AI161" s="7">
        <f t="shared" si="77"/>
        <v>0</v>
      </c>
      <c r="AJ161" s="15">
        <v>0</v>
      </c>
      <c r="AK161" s="14">
        <f t="shared" si="78"/>
        <v>0</v>
      </c>
      <c r="AL161" s="15">
        <v>0</v>
      </c>
      <c r="AM161" s="7">
        <f t="shared" si="79"/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7">
        <f t="shared" si="85"/>
        <v>0</v>
      </c>
      <c r="AT161" s="14">
        <f t="shared" si="58"/>
        <v>0</v>
      </c>
      <c r="AU161" s="14">
        <f t="shared" si="58"/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-13333</v>
      </c>
      <c r="BI161" s="15">
        <v>0</v>
      </c>
      <c r="BJ161" s="15">
        <v>0</v>
      </c>
      <c r="BK161" s="15">
        <v>106300</v>
      </c>
      <c r="BL161" s="15">
        <v>0</v>
      </c>
      <c r="BM161" s="15">
        <v>0</v>
      </c>
      <c r="BN161" s="15">
        <v>0</v>
      </c>
      <c r="BO161" s="15">
        <v>0</v>
      </c>
      <c r="BP161" s="15">
        <v>5704</v>
      </c>
      <c r="BQ161" s="15">
        <v>1200</v>
      </c>
      <c r="BR161" s="14">
        <f t="shared" si="59"/>
        <v>6904</v>
      </c>
      <c r="BS161" s="15">
        <v>1900</v>
      </c>
      <c r="BT161" s="15">
        <v>0</v>
      </c>
      <c r="BU161" s="15">
        <v>0</v>
      </c>
      <c r="BV161" s="14">
        <f t="shared" si="60"/>
        <v>1900</v>
      </c>
      <c r="BW161" s="15">
        <v>3399</v>
      </c>
      <c r="BX161" s="15">
        <v>408</v>
      </c>
      <c r="BY161" s="15">
        <v>3399</v>
      </c>
      <c r="BZ161" s="15">
        <v>2060</v>
      </c>
      <c r="CA161" s="15">
        <v>0</v>
      </c>
      <c r="CB161" s="15">
        <v>9266</v>
      </c>
      <c r="CC161" s="15">
        <v>58854</v>
      </c>
      <c r="CD161" s="15">
        <v>9909</v>
      </c>
      <c r="CE161" s="15">
        <v>0</v>
      </c>
      <c r="CF161" s="14">
        <f t="shared" si="61"/>
        <v>175063</v>
      </c>
      <c r="CG161" s="18"/>
      <c r="CH161" s="16"/>
      <c r="CI161" s="17"/>
      <c r="CJ161" s="17"/>
    </row>
    <row r="162" spans="1:88" s="13" customFormat="1" x14ac:dyDescent="0.35">
      <c r="A162" s="13">
        <v>1002692283</v>
      </c>
      <c r="B162" s="17" t="s">
        <v>95</v>
      </c>
      <c r="C162" s="17" t="s">
        <v>83</v>
      </c>
      <c r="D162" s="17" t="s">
        <v>286</v>
      </c>
      <c r="E162" s="17">
        <v>6563</v>
      </c>
      <c r="F162" s="17" t="s">
        <v>84</v>
      </c>
      <c r="G162" s="17" t="s">
        <v>85</v>
      </c>
      <c r="H162" s="17">
        <v>1002692283</v>
      </c>
      <c r="I162" s="17" t="s">
        <v>265</v>
      </c>
      <c r="J162" s="17" t="s">
        <v>94</v>
      </c>
      <c r="K162" s="17">
        <v>0</v>
      </c>
      <c r="L162" s="17">
        <v>0</v>
      </c>
      <c r="M162" s="17" t="s">
        <v>96</v>
      </c>
      <c r="N162" s="19">
        <v>45855</v>
      </c>
      <c r="O162" s="19">
        <v>1</v>
      </c>
      <c r="P162" s="20">
        <v>1423500</v>
      </c>
      <c r="Q162" s="17">
        <v>30</v>
      </c>
      <c r="R162" s="14">
        <f t="shared" si="55"/>
        <v>1423500</v>
      </c>
      <c r="S162" s="15">
        <v>200000</v>
      </c>
      <c r="T162" s="15">
        <v>0</v>
      </c>
      <c r="U162" s="7">
        <f t="shared" si="83"/>
        <v>0</v>
      </c>
      <c r="V162" s="15">
        <v>0</v>
      </c>
      <c r="W162" s="7">
        <f t="shared" si="84"/>
        <v>0</v>
      </c>
      <c r="X162" s="15">
        <v>0</v>
      </c>
      <c r="Y162" s="7">
        <f t="shared" si="73"/>
        <v>0</v>
      </c>
      <c r="Z162" s="15">
        <v>0</v>
      </c>
      <c r="AA162" s="7">
        <f t="shared" si="74"/>
        <v>0</v>
      </c>
      <c r="AB162" s="15">
        <v>0</v>
      </c>
      <c r="AC162" s="14">
        <f t="shared" si="75"/>
        <v>0</v>
      </c>
      <c r="AD162" s="14">
        <f t="shared" si="56"/>
        <v>0</v>
      </c>
      <c r="AE162" s="14">
        <f t="shared" si="57"/>
        <v>0</v>
      </c>
      <c r="AF162" s="15">
        <v>0</v>
      </c>
      <c r="AG162" s="7">
        <f t="shared" si="76"/>
        <v>0</v>
      </c>
      <c r="AH162" s="15">
        <v>0</v>
      </c>
      <c r="AI162" s="7">
        <f t="shared" si="77"/>
        <v>0</v>
      </c>
      <c r="AJ162" s="15">
        <v>0</v>
      </c>
      <c r="AK162" s="14">
        <f t="shared" si="78"/>
        <v>0</v>
      </c>
      <c r="AL162" s="15">
        <v>0</v>
      </c>
      <c r="AM162" s="7">
        <f t="shared" si="79"/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13</v>
      </c>
      <c r="AS162" s="7">
        <f t="shared" si="85"/>
        <v>29440.56818181818</v>
      </c>
      <c r="AT162" s="14">
        <f t="shared" si="58"/>
        <v>13</v>
      </c>
      <c r="AU162" s="14">
        <f t="shared" si="58"/>
        <v>29440.56818181818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51430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106300</v>
      </c>
      <c r="BL162" s="15">
        <v>0</v>
      </c>
      <c r="BM162" s="15">
        <v>0</v>
      </c>
      <c r="BN162" s="15">
        <v>0</v>
      </c>
      <c r="BO162" s="15">
        <v>0</v>
      </c>
      <c r="BP162" s="15">
        <v>180525</v>
      </c>
      <c r="BQ162" s="15">
        <v>36700</v>
      </c>
      <c r="BR162" s="14">
        <f t="shared" si="59"/>
        <v>217225</v>
      </c>
      <c r="BS162" s="15">
        <v>60200</v>
      </c>
      <c r="BT162" s="15">
        <v>0</v>
      </c>
      <c r="BU162" s="15">
        <v>0</v>
      </c>
      <c r="BV162" s="14">
        <f t="shared" si="60"/>
        <v>60200</v>
      </c>
      <c r="BW162" s="15">
        <v>142025</v>
      </c>
      <c r="BX162" s="15">
        <v>17044</v>
      </c>
      <c r="BY162" s="15">
        <v>142025</v>
      </c>
      <c r="BZ162" s="15">
        <v>65289</v>
      </c>
      <c r="CA162" s="15">
        <v>0</v>
      </c>
      <c r="CB162" s="15">
        <v>366383</v>
      </c>
      <c r="CC162" s="15">
        <v>2348179</v>
      </c>
      <c r="CD162" s="15">
        <v>147271</v>
      </c>
      <c r="CE162" s="15">
        <v>0</v>
      </c>
      <c r="CF162" s="14">
        <f t="shared" si="61"/>
        <v>2601749.5681818184</v>
      </c>
      <c r="CG162" s="18"/>
      <c r="CH162" s="16"/>
      <c r="CI162" s="17"/>
      <c r="CJ162" s="15"/>
    </row>
    <row r="163" spans="1:88" s="13" customFormat="1" x14ac:dyDescent="0.35">
      <c r="A163" s="13">
        <v>1001332008</v>
      </c>
      <c r="B163" s="17" t="s">
        <v>95</v>
      </c>
      <c r="C163" s="17" t="s">
        <v>83</v>
      </c>
      <c r="D163" s="17" t="s">
        <v>286</v>
      </c>
      <c r="E163" s="17">
        <v>6563</v>
      </c>
      <c r="F163" s="17" t="s">
        <v>84</v>
      </c>
      <c r="G163" s="17" t="s">
        <v>85</v>
      </c>
      <c r="H163" s="17">
        <v>1001332008</v>
      </c>
      <c r="I163" s="17" t="s">
        <v>266</v>
      </c>
      <c r="J163" s="17" t="s">
        <v>94</v>
      </c>
      <c r="K163" s="17">
        <v>0</v>
      </c>
      <c r="L163" s="17">
        <v>0</v>
      </c>
      <c r="M163" s="17" t="s">
        <v>96</v>
      </c>
      <c r="N163" s="19">
        <v>45855</v>
      </c>
      <c r="O163" s="19">
        <v>1</v>
      </c>
      <c r="P163" s="20">
        <v>1423500</v>
      </c>
      <c r="Q163" s="17">
        <v>30</v>
      </c>
      <c r="R163" s="14">
        <f t="shared" si="55"/>
        <v>1423500</v>
      </c>
      <c r="S163" s="15">
        <v>200000</v>
      </c>
      <c r="T163" s="15">
        <v>0</v>
      </c>
      <c r="U163" s="7">
        <f t="shared" si="83"/>
        <v>0</v>
      </c>
      <c r="V163" s="15">
        <v>0</v>
      </c>
      <c r="W163" s="7">
        <f t="shared" si="84"/>
        <v>0</v>
      </c>
      <c r="X163" s="15">
        <v>0</v>
      </c>
      <c r="Y163" s="7">
        <f t="shared" si="73"/>
        <v>0</v>
      </c>
      <c r="Z163" s="15">
        <v>0</v>
      </c>
      <c r="AA163" s="7">
        <f t="shared" si="74"/>
        <v>0</v>
      </c>
      <c r="AB163" s="15">
        <v>0</v>
      </c>
      <c r="AC163" s="14">
        <f t="shared" si="75"/>
        <v>0</v>
      </c>
      <c r="AD163" s="14">
        <f t="shared" si="56"/>
        <v>0</v>
      </c>
      <c r="AE163" s="14">
        <f t="shared" si="57"/>
        <v>0</v>
      </c>
      <c r="AF163" s="15">
        <v>0</v>
      </c>
      <c r="AG163" s="7">
        <f t="shared" si="76"/>
        <v>0</v>
      </c>
      <c r="AH163" s="15">
        <v>0</v>
      </c>
      <c r="AI163" s="7">
        <f t="shared" si="77"/>
        <v>0</v>
      </c>
      <c r="AJ163" s="15">
        <v>0</v>
      </c>
      <c r="AK163" s="14">
        <f t="shared" si="78"/>
        <v>0</v>
      </c>
      <c r="AL163" s="15">
        <v>0</v>
      </c>
      <c r="AM163" s="7">
        <f t="shared" si="79"/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4</v>
      </c>
      <c r="AS163" s="7">
        <f t="shared" si="85"/>
        <v>9058.6363636363621</v>
      </c>
      <c r="AT163" s="14">
        <f t="shared" si="58"/>
        <v>4</v>
      </c>
      <c r="AU163" s="14">
        <f t="shared" si="58"/>
        <v>9058.6363636363621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51430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106300</v>
      </c>
      <c r="BL163" s="15">
        <v>0</v>
      </c>
      <c r="BM163" s="15">
        <v>0</v>
      </c>
      <c r="BN163" s="15">
        <v>0</v>
      </c>
      <c r="BO163" s="15">
        <v>0</v>
      </c>
      <c r="BP163" s="15">
        <v>178140</v>
      </c>
      <c r="BQ163" s="15">
        <v>36200</v>
      </c>
      <c r="BR163" s="14">
        <f t="shared" si="59"/>
        <v>214340</v>
      </c>
      <c r="BS163" s="15">
        <v>59400</v>
      </c>
      <c r="BT163" s="15">
        <v>0</v>
      </c>
      <c r="BU163" s="15">
        <v>0</v>
      </c>
      <c r="BV163" s="14">
        <f t="shared" si="60"/>
        <v>59400</v>
      </c>
      <c r="BW163" s="15">
        <v>140327</v>
      </c>
      <c r="BX163" s="15">
        <v>16840</v>
      </c>
      <c r="BY163" s="15">
        <v>140327</v>
      </c>
      <c r="BZ163" s="15">
        <v>64405</v>
      </c>
      <c r="CA163" s="15">
        <v>0</v>
      </c>
      <c r="CB163" s="15">
        <v>361899</v>
      </c>
      <c r="CC163" s="15">
        <v>2319628</v>
      </c>
      <c r="CD163" s="15">
        <v>145558</v>
      </c>
      <c r="CE163" s="15">
        <v>0</v>
      </c>
      <c r="CF163" s="14">
        <f t="shared" si="61"/>
        <v>2571485.6363636362</v>
      </c>
      <c r="CG163" s="18"/>
      <c r="CH163" s="16"/>
      <c r="CI163" s="17"/>
      <c r="CJ163" s="15"/>
    </row>
    <row r="164" spans="1:88" s="13" customFormat="1" x14ac:dyDescent="0.35">
      <c r="A164" s="13">
        <v>1003534975</v>
      </c>
      <c r="B164" s="17" t="s">
        <v>95</v>
      </c>
      <c r="C164" s="17" t="s">
        <v>83</v>
      </c>
      <c r="D164" s="17" t="s">
        <v>286</v>
      </c>
      <c r="E164" s="17">
        <v>6563</v>
      </c>
      <c r="F164" s="17" t="s">
        <v>84</v>
      </c>
      <c r="G164" s="17" t="s">
        <v>85</v>
      </c>
      <c r="H164" s="17">
        <v>1003534975</v>
      </c>
      <c r="I164" s="17" t="s">
        <v>267</v>
      </c>
      <c r="J164" s="17" t="s">
        <v>94</v>
      </c>
      <c r="K164" s="17">
        <v>0</v>
      </c>
      <c r="L164" s="17">
        <v>0</v>
      </c>
      <c r="M164" s="17" t="s">
        <v>96</v>
      </c>
      <c r="N164" s="19">
        <v>45855</v>
      </c>
      <c r="O164" s="19">
        <v>1</v>
      </c>
      <c r="P164" s="20">
        <v>1423500</v>
      </c>
      <c r="Q164" s="17">
        <v>30</v>
      </c>
      <c r="R164" s="14">
        <f t="shared" ref="R164:R204" si="89">+P164/30*Q164</f>
        <v>1423500</v>
      </c>
      <c r="S164" s="15">
        <v>200000</v>
      </c>
      <c r="T164" s="15">
        <v>0</v>
      </c>
      <c r="U164" s="7">
        <f t="shared" si="83"/>
        <v>0</v>
      </c>
      <c r="V164" s="15">
        <v>0</v>
      </c>
      <c r="W164" s="7">
        <f t="shared" si="84"/>
        <v>0</v>
      </c>
      <c r="X164" s="15">
        <v>0</v>
      </c>
      <c r="Y164" s="7">
        <f t="shared" si="73"/>
        <v>0</v>
      </c>
      <c r="Z164" s="15">
        <v>0</v>
      </c>
      <c r="AA164" s="7">
        <f t="shared" si="74"/>
        <v>0</v>
      </c>
      <c r="AB164" s="15">
        <v>0</v>
      </c>
      <c r="AC164" s="14">
        <f t="shared" si="75"/>
        <v>0</v>
      </c>
      <c r="AD164" s="14">
        <f t="shared" ref="AD164:AD204" si="90">+T164+V164+X164+Z164+AB164</f>
        <v>0</v>
      </c>
      <c r="AE164" s="14">
        <f t="shared" ref="AE164:AE204" si="91">+U164+W164+Y164+AA164+AC164</f>
        <v>0</v>
      </c>
      <c r="AF164" s="15">
        <v>0</v>
      </c>
      <c r="AG164" s="7">
        <f t="shared" si="76"/>
        <v>0</v>
      </c>
      <c r="AH164" s="15">
        <v>0</v>
      </c>
      <c r="AI164" s="7">
        <f t="shared" si="77"/>
        <v>0</v>
      </c>
      <c r="AJ164" s="15">
        <v>2</v>
      </c>
      <c r="AK164" s="14">
        <f t="shared" si="78"/>
        <v>27175.909090909092</v>
      </c>
      <c r="AL164" s="15">
        <v>0</v>
      </c>
      <c r="AM164" s="7">
        <f t="shared" si="79"/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35</v>
      </c>
      <c r="AS164" s="7">
        <f t="shared" si="85"/>
        <v>79263.068181818177</v>
      </c>
      <c r="AT164" s="14">
        <f t="shared" ref="AT164:AU204" si="92">+AF164+AH164+AJ164+AL164+AN164+AP164+AR164</f>
        <v>37</v>
      </c>
      <c r="AU164" s="14">
        <f t="shared" si="92"/>
        <v>106438.97727272726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-6667</v>
      </c>
      <c r="BI164" s="15">
        <v>0</v>
      </c>
      <c r="BJ164" s="15">
        <v>0</v>
      </c>
      <c r="BK164" s="15">
        <v>106300</v>
      </c>
      <c r="BL164" s="15">
        <v>0</v>
      </c>
      <c r="BM164" s="15">
        <v>0</v>
      </c>
      <c r="BN164" s="15">
        <v>0</v>
      </c>
      <c r="BO164" s="15">
        <v>0</v>
      </c>
      <c r="BP164" s="15">
        <v>183677</v>
      </c>
      <c r="BQ164" s="15">
        <v>37300</v>
      </c>
      <c r="BR164" s="14">
        <f t="shared" ref="BR164:BR204" si="93">+BO164+BP164+BQ164</f>
        <v>220977</v>
      </c>
      <c r="BS164" s="15">
        <v>61300</v>
      </c>
      <c r="BT164" s="15">
        <v>0</v>
      </c>
      <c r="BU164" s="15">
        <v>0</v>
      </c>
      <c r="BV164" s="14">
        <f t="shared" ref="BV164:BV204" si="94">+BS164+BT164+BU164</f>
        <v>61300</v>
      </c>
      <c r="BW164" s="15">
        <v>143654</v>
      </c>
      <c r="BX164" s="15">
        <v>17239</v>
      </c>
      <c r="BY164" s="15">
        <v>143654</v>
      </c>
      <c r="BZ164" s="15">
        <v>66427</v>
      </c>
      <c r="CA164" s="15">
        <v>0</v>
      </c>
      <c r="CB164" s="15">
        <v>370974</v>
      </c>
      <c r="CC164" s="15">
        <v>2377170</v>
      </c>
      <c r="CD164" s="16">
        <v>149658.02272727247</v>
      </c>
      <c r="CE164" s="15">
        <v>0</v>
      </c>
      <c r="CF164" s="14">
        <f t="shared" ref="CF164:CF204" si="95">+CB164+BV164+BR164+BN164+BM164+BL164+BJ164+BI164+BH164+BF164++BG164+BE164+BD164+BC164+AZ164+AY164+AX164+AW164+AV164+AU164++AE164++S164+R164+CD164+BK164+CA164+CE164</f>
        <v>2632481</v>
      </c>
      <c r="CG164" s="18"/>
      <c r="CH164" s="16"/>
      <c r="CI164" s="22"/>
      <c r="CJ164" s="17"/>
    </row>
    <row r="165" spans="1:88" s="13" customFormat="1" x14ac:dyDescent="0.35">
      <c r="A165" s="13">
        <v>1075312154</v>
      </c>
      <c r="B165" s="17" t="s">
        <v>95</v>
      </c>
      <c r="C165" s="17" t="s">
        <v>83</v>
      </c>
      <c r="D165" s="17" t="s">
        <v>286</v>
      </c>
      <c r="E165" s="17">
        <v>6563</v>
      </c>
      <c r="F165" s="17" t="s">
        <v>84</v>
      </c>
      <c r="G165" s="17" t="s">
        <v>85</v>
      </c>
      <c r="H165" s="17">
        <v>1075312154</v>
      </c>
      <c r="I165" s="17" t="s">
        <v>268</v>
      </c>
      <c r="J165" s="17" t="s">
        <v>94</v>
      </c>
      <c r="K165" s="17">
        <v>0</v>
      </c>
      <c r="L165" s="17">
        <v>0</v>
      </c>
      <c r="M165" s="17" t="s">
        <v>96</v>
      </c>
      <c r="N165" s="19">
        <v>45855</v>
      </c>
      <c r="O165" s="19">
        <v>45857</v>
      </c>
      <c r="P165" s="20">
        <v>1423500</v>
      </c>
      <c r="Q165" s="17">
        <v>-11</v>
      </c>
      <c r="R165" s="14">
        <f t="shared" si="89"/>
        <v>-521950</v>
      </c>
      <c r="S165" s="15">
        <v>-73333</v>
      </c>
      <c r="T165" s="15">
        <v>0</v>
      </c>
      <c r="U165" s="7">
        <f t="shared" si="83"/>
        <v>0</v>
      </c>
      <c r="V165" s="15">
        <v>0</v>
      </c>
      <c r="W165" s="7">
        <f t="shared" si="84"/>
        <v>0</v>
      </c>
      <c r="X165" s="15">
        <v>0</v>
      </c>
      <c r="Y165" s="7">
        <f t="shared" si="73"/>
        <v>0</v>
      </c>
      <c r="Z165" s="15">
        <v>0</v>
      </c>
      <c r="AA165" s="7">
        <f t="shared" si="74"/>
        <v>0</v>
      </c>
      <c r="AB165" s="15">
        <v>0</v>
      </c>
      <c r="AC165" s="14">
        <f t="shared" si="75"/>
        <v>0</v>
      </c>
      <c r="AD165" s="14">
        <f t="shared" si="90"/>
        <v>0</v>
      </c>
      <c r="AE165" s="14">
        <f t="shared" si="91"/>
        <v>0</v>
      </c>
      <c r="AF165" s="15">
        <v>0</v>
      </c>
      <c r="AG165" s="7">
        <f t="shared" si="76"/>
        <v>0</v>
      </c>
      <c r="AH165" s="15">
        <v>0</v>
      </c>
      <c r="AI165" s="7">
        <f t="shared" si="77"/>
        <v>0</v>
      </c>
      <c r="AJ165" s="15">
        <v>0</v>
      </c>
      <c r="AK165" s="14">
        <f t="shared" si="78"/>
        <v>0</v>
      </c>
      <c r="AL165" s="15">
        <v>0</v>
      </c>
      <c r="AM165" s="7">
        <f t="shared" si="79"/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7">
        <f t="shared" si="85"/>
        <v>0</v>
      </c>
      <c r="AT165" s="14">
        <f t="shared" si="92"/>
        <v>0</v>
      </c>
      <c r="AU165" s="14">
        <f t="shared" si="92"/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47450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-56912</v>
      </c>
      <c r="BQ165" s="15">
        <v>-11500</v>
      </c>
      <c r="BR165" s="14">
        <f t="shared" si="93"/>
        <v>-68412</v>
      </c>
      <c r="BS165" s="15">
        <v>-18900</v>
      </c>
      <c r="BT165" s="15">
        <v>0</v>
      </c>
      <c r="BU165" s="15">
        <v>0</v>
      </c>
      <c r="BV165" s="14">
        <f t="shared" si="94"/>
        <v>-18900</v>
      </c>
      <c r="BW165" s="15">
        <v>-45651</v>
      </c>
      <c r="BX165" s="15">
        <v>-5478</v>
      </c>
      <c r="BY165" s="15">
        <v>-45651</v>
      </c>
      <c r="BZ165" s="15">
        <v>-22571</v>
      </c>
      <c r="CA165" s="15">
        <v>0</v>
      </c>
      <c r="CB165" s="15">
        <v>-119351</v>
      </c>
      <c r="CC165" s="15">
        <v>-754496</v>
      </c>
      <c r="CD165" s="15">
        <v>-45269</v>
      </c>
      <c r="CE165" s="15">
        <v>0</v>
      </c>
      <c r="CF165" s="14">
        <f t="shared" si="95"/>
        <v>-799765</v>
      </c>
      <c r="CG165" s="18"/>
      <c r="CH165" s="16"/>
      <c r="CI165" s="17"/>
      <c r="CJ165" s="17"/>
    </row>
    <row r="166" spans="1:88" s="13" customFormat="1" x14ac:dyDescent="0.35">
      <c r="A166" s="13">
        <v>1039023553</v>
      </c>
      <c r="B166" s="17" t="s">
        <v>95</v>
      </c>
      <c r="C166" s="17" t="s">
        <v>83</v>
      </c>
      <c r="D166" s="17" t="s">
        <v>286</v>
      </c>
      <c r="E166" s="17">
        <v>6563</v>
      </c>
      <c r="F166" s="17" t="s">
        <v>84</v>
      </c>
      <c r="G166" s="17" t="s">
        <v>85</v>
      </c>
      <c r="H166" s="17">
        <v>1039023553</v>
      </c>
      <c r="I166" s="17" t="s">
        <v>269</v>
      </c>
      <c r="J166" s="17" t="s">
        <v>94</v>
      </c>
      <c r="K166" s="17">
        <v>0</v>
      </c>
      <c r="L166" s="17">
        <v>0</v>
      </c>
      <c r="M166" s="17" t="s">
        <v>96</v>
      </c>
      <c r="N166" s="19">
        <v>45855</v>
      </c>
      <c r="O166" s="19">
        <v>1</v>
      </c>
      <c r="P166" s="20">
        <v>1423500</v>
      </c>
      <c r="Q166" s="17">
        <v>30</v>
      </c>
      <c r="R166" s="14">
        <f t="shared" si="89"/>
        <v>1423500</v>
      </c>
      <c r="S166" s="15">
        <v>200000</v>
      </c>
      <c r="T166" s="15">
        <v>0</v>
      </c>
      <c r="U166" s="7">
        <f t="shared" si="83"/>
        <v>0</v>
      </c>
      <c r="V166" s="15">
        <v>0</v>
      </c>
      <c r="W166" s="7">
        <f t="shared" si="84"/>
        <v>0</v>
      </c>
      <c r="X166" s="15">
        <v>0</v>
      </c>
      <c r="Y166" s="7">
        <f t="shared" si="73"/>
        <v>0</v>
      </c>
      <c r="Z166" s="15">
        <v>0</v>
      </c>
      <c r="AA166" s="7">
        <f t="shared" si="74"/>
        <v>0</v>
      </c>
      <c r="AB166" s="15">
        <v>0</v>
      </c>
      <c r="AC166" s="14">
        <f t="shared" si="75"/>
        <v>0</v>
      </c>
      <c r="AD166" s="14">
        <f t="shared" si="90"/>
        <v>0</v>
      </c>
      <c r="AE166" s="14">
        <f t="shared" si="91"/>
        <v>0</v>
      </c>
      <c r="AF166" s="15">
        <v>0</v>
      </c>
      <c r="AG166" s="7">
        <f t="shared" si="76"/>
        <v>0</v>
      </c>
      <c r="AH166" s="15">
        <v>0</v>
      </c>
      <c r="AI166" s="7">
        <f t="shared" si="77"/>
        <v>0</v>
      </c>
      <c r="AJ166" s="15">
        <v>2</v>
      </c>
      <c r="AK166" s="14">
        <f t="shared" si="78"/>
        <v>27175.909090909092</v>
      </c>
      <c r="AL166" s="15">
        <v>0</v>
      </c>
      <c r="AM166" s="7">
        <f t="shared" si="79"/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41</v>
      </c>
      <c r="AS166" s="7">
        <f t="shared" si="85"/>
        <v>92851.022727272721</v>
      </c>
      <c r="AT166" s="14">
        <f t="shared" si="92"/>
        <v>43</v>
      </c>
      <c r="AU166" s="14">
        <f t="shared" si="92"/>
        <v>120026.93181818181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106300</v>
      </c>
      <c r="BL166" s="15">
        <v>0</v>
      </c>
      <c r="BM166" s="15">
        <v>0</v>
      </c>
      <c r="BN166" s="15">
        <v>0</v>
      </c>
      <c r="BO166" s="15">
        <v>0</v>
      </c>
      <c r="BP166" s="15">
        <v>185333</v>
      </c>
      <c r="BQ166" s="15">
        <v>37700</v>
      </c>
      <c r="BR166" s="14">
        <f t="shared" si="93"/>
        <v>223033</v>
      </c>
      <c r="BS166" s="15">
        <v>61800</v>
      </c>
      <c r="BT166" s="15">
        <v>0</v>
      </c>
      <c r="BU166" s="15">
        <v>0</v>
      </c>
      <c r="BV166" s="14">
        <f t="shared" si="94"/>
        <v>61800</v>
      </c>
      <c r="BW166" s="15">
        <v>145342</v>
      </c>
      <c r="BX166" s="15">
        <v>17442</v>
      </c>
      <c r="BY166" s="15">
        <v>145342</v>
      </c>
      <c r="BZ166" s="15">
        <v>67017</v>
      </c>
      <c r="CA166" s="15">
        <v>0</v>
      </c>
      <c r="CB166" s="15">
        <v>375143</v>
      </c>
      <c r="CC166" s="15">
        <v>2404150</v>
      </c>
      <c r="CD166" s="16">
        <v>151275.06818181835</v>
      </c>
      <c r="CE166" s="15">
        <v>0</v>
      </c>
      <c r="CF166" s="14">
        <f t="shared" si="95"/>
        <v>2661078</v>
      </c>
      <c r="CG166" s="18"/>
      <c r="CH166" s="16"/>
      <c r="CI166" s="22"/>
      <c r="CJ166" s="15"/>
    </row>
    <row r="167" spans="1:88" s="13" customFormat="1" x14ac:dyDescent="0.35">
      <c r="A167" s="13">
        <v>1023954245</v>
      </c>
      <c r="B167" s="17" t="s">
        <v>95</v>
      </c>
      <c r="C167" s="17" t="s">
        <v>83</v>
      </c>
      <c r="D167" s="17" t="s">
        <v>286</v>
      </c>
      <c r="E167" s="17">
        <v>6563</v>
      </c>
      <c r="F167" s="17" t="s">
        <v>84</v>
      </c>
      <c r="G167" s="17" t="s">
        <v>85</v>
      </c>
      <c r="H167" s="17">
        <v>1023954245</v>
      </c>
      <c r="I167" s="17" t="s">
        <v>270</v>
      </c>
      <c r="J167" s="17" t="s">
        <v>94</v>
      </c>
      <c r="K167" s="17">
        <v>0</v>
      </c>
      <c r="L167" s="17">
        <v>0</v>
      </c>
      <c r="M167" s="17" t="s">
        <v>96</v>
      </c>
      <c r="N167" s="19">
        <v>45855</v>
      </c>
      <c r="O167" s="19">
        <v>1</v>
      </c>
      <c r="P167" s="20">
        <v>1423500</v>
      </c>
      <c r="Q167" s="17">
        <v>30</v>
      </c>
      <c r="R167" s="14">
        <f t="shared" si="89"/>
        <v>1423500</v>
      </c>
      <c r="S167" s="15">
        <v>200000</v>
      </c>
      <c r="T167" s="15">
        <v>0</v>
      </c>
      <c r="U167" s="7">
        <f t="shared" si="83"/>
        <v>0</v>
      </c>
      <c r="V167" s="15">
        <v>0</v>
      </c>
      <c r="W167" s="7">
        <f t="shared" si="84"/>
        <v>0</v>
      </c>
      <c r="X167" s="15">
        <v>0</v>
      </c>
      <c r="Y167" s="7">
        <f t="shared" si="73"/>
        <v>0</v>
      </c>
      <c r="Z167" s="15">
        <v>0</v>
      </c>
      <c r="AA167" s="7">
        <f t="shared" si="74"/>
        <v>0</v>
      </c>
      <c r="AB167" s="15">
        <v>0</v>
      </c>
      <c r="AC167" s="14">
        <f t="shared" si="75"/>
        <v>0</v>
      </c>
      <c r="AD167" s="14">
        <f t="shared" si="90"/>
        <v>0</v>
      </c>
      <c r="AE167" s="14">
        <f t="shared" si="91"/>
        <v>0</v>
      </c>
      <c r="AF167" s="15">
        <v>0</v>
      </c>
      <c r="AG167" s="7">
        <f t="shared" si="76"/>
        <v>0</v>
      </c>
      <c r="AH167" s="15">
        <v>0</v>
      </c>
      <c r="AI167" s="7">
        <f t="shared" si="77"/>
        <v>0</v>
      </c>
      <c r="AJ167" s="15">
        <v>0</v>
      </c>
      <c r="AK167" s="14">
        <f t="shared" si="78"/>
        <v>0</v>
      </c>
      <c r="AL167" s="15">
        <v>0</v>
      </c>
      <c r="AM167" s="7">
        <f t="shared" si="79"/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3.5</v>
      </c>
      <c r="AS167" s="7">
        <f t="shared" si="85"/>
        <v>7926.3068181818171</v>
      </c>
      <c r="AT167" s="14">
        <f t="shared" si="92"/>
        <v>3.5</v>
      </c>
      <c r="AU167" s="14">
        <f t="shared" si="92"/>
        <v>7926.3068181818171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51430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106300</v>
      </c>
      <c r="BL167" s="15">
        <v>0</v>
      </c>
      <c r="BM167" s="15">
        <v>0</v>
      </c>
      <c r="BN167" s="15">
        <v>0</v>
      </c>
      <c r="BO167" s="15">
        <v>0</v>
      </c>
      <c r="BP167" s="15">
        <v>177986</v>
      </c>
      <c r="BQ167" s="15">
        <v>36200</v>
      </c>
      <c r="BR167" s="14">
        <f t="shared" si="93"/>
        <v>214186</v>
      </c>
      <c r="BS167" s="15">
        <v>59400</v>
      </c>
      <c r="BT167" s="15">
        <v>0</v>
      </c>
      <c r="BU167" s="15">
        <v>0</v>
      </c>
      <c r="BV167" s="14">
        <f t="shared" si="94"/>
        <v>59400</v>
      </c>
      <c r="BW167" s="15">
        <v>140232</v>
      </c>
      <c r="BX167" s="15">
        <v>16829</v>
      </c>
      <c r="BY167" s="15">
        <v>140232</v>
      </c>
      <c r="BZ167" s="15">
        <v>64356</v>
      </c>
      <c r="CA167" s="15">
        <v>0</v>
      </c>
      <c r="CB167" s="15">
        <v>361649</v>
      </c>
      <c r="CC167" s="15">
        <v>2318091</v>
      </c>
      <c r="CD167" s="15">
        <v>145465</v>
      </c>
      <c r="CE167" s="15">
        <v>0</v>
      </c>
      <c r="CF167" s="14">
        <f t="shared" si="95"/>
        <v>2569856.3068181816</v>
      </c>
      <c r="CG167" s="18"/>
      <c r="CH167" s="16"/>
      <c r="CI167" s="17"/>
      <c r="CJ167" s="17"/>
    </row>
    <row r="168" spans="1:88" s="13" customFormat="1" x14ac:dyDescent="0.35">
      <c r="A168" s="13">
        <v>43921344</v>
      </c>
      <c r="B168" s="17" t="s">
        <v>95</v>
      </c>
      <c r="C168" s="17" t="s">
        <v>83</v>
      </c>
      <c r="D168" s="17" t="s">
        <v>286</v>
      </c>
      <c r="E168" s="17">
        <v>6563</v>
      </c>
      <c r="F168" s="17" t="s">
        <v>84</v>
      </c>
      <c r="G168" s="17" t="s">
        <v>85</v>
      </c>
      <c r="H168" s="17">
        <v>43921344</v>
      </c>
      <c r="I168" s="17" t="s">
        <v>271</v>
      </c>
      <c r="J168" s="17" t="s">
        <v>94</v>
      </c>
      <c r="K168" s="17">
        <v>0</v>
      </c>
      <c r="L168" s="17">
        <v>0</v>
      </c>
      <c r="M168" s="17" t="s">
        <v>96</v>
      </c>
      <c r="N168" s="19">
        <v>45855</v>
      </c>
      <c r="O168" s="19">
        <v>1</v>
      </c>
      <c r="P168" s="20">
        <v>1423500</v>
      </c>
      <c r="Q168" s="17">
        <v>30</v>
      </c>
      <c r="R168" s="14">
        <f t="shared" si="89"/>
        <v>1423500</v>
      </c>
      <c r="S168" s="15">
        <v>200000</v>
      </c>
      <c r="T168" s="15">
        <v>0</v>
      </c>
      <c r="U168" s="7">
        <f t="shared" si="83"/>
        <v>0</v>
      </c>
      <c r="V168" s="15">
        <v>0</v>
      </c>
      <c r="W168" s="7">
        <f t="shared" si="84"/>
        <v>0</v>
      </c>
      <c r="X168" s="15">
        <v>0</v>
      </c>
      <c r="Y168" s="7">
        <f t="shared" si="73"/>
        <v>0</v>
      </c>
      <c r="Z168" s="15">
        <v>0</v>
      </c>
      <c r="AA168" s="7">
        <f t="shared" si="74"/>
        <v>0</v>
      </c>
      <c r="AB168" s="15">
        <v>0</v>
      </c>
      <c r="AC168" s="14">
        <f t="shared" si="75"/>
        <v>0</v>
      </c>
      <c r="AD168" s="14">
        <f t="shared" si="90"/>
        <v>0</v>
      </c>
      <c r="AE168" s="14">
        <f t="shared" si="91"/>
        <v>0</v>
      </c>
      <c r="AF168" s="15">
        <v>0</v>
      </c>
      <c r="AG168" s="7">
        <f t="shared" si="76"/>
        <v>0</v>
      </c>
      <c r="AH168" s="15">
        <v>0</v>
      </c>
      <c r="AI168" s="7">
        <f t="shared" si="77"/>
        <v>0</v>
      </c>
      <c r="AJ168" s="15">
        <v>2</v>
      </c>
      <c r="AK168" s="14">
        <f t="shared" si="78"/>
        <v>27175.909090909092</v>
      </c>
      <c r="AL168" s="15">
        <v>0</v>
      </c>
      <c r="AM168" s="7">
        <f t="shared" si="79"/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36.5</v>
      </c>
      <c r="AS168" s="7">
        <f t="shared" si="85"/>
        <v>82660.056818181809</v>
      </c>
      <c r="AT168" s="14">
        <f t="shared" si="92"/>
        <v>38.5</v>
      </c>
      <c r="AU168" s="14">
        <f t="shared" si="92"/>
        <v>109835.9659090909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51430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106300</v>
      </c>
      <c r="BL168" s="15">
        <v>0</v>
      </c>
      <c r="BM168" s="15">
        <v>0</v>
      </c>
      <c r="BN168" s="15">
        <v>0</v>
      </c>
      <c r="BO168" s="15">
        <v>0</v>
      </c>
      <c r="BP168" s="15">
        <v>190283</v>
      </c>
      <c r="BQ168" s="15">
        <v>38700</v>
      </c>
      <c r="BR168" s="14">
        <f t="shared" si="93"/>
        <v>228983</v>
      </c>
      <c r="BS168" s="15">
        <v>63500</v>
      </c>
      <c r="BT168" s="15">
        <v>0</v>
      </c>
      <c r="BU168" s="15">
        <v>0</v>
      </c>
      <c r="BV168" s="14">
        <f t="shared" si="94"/>
        <v>63500</v>
      </c>
      <c r="BW168" s="15">
        <v>148778</v>
      </c>
      <c r="BX168" s="15">
        <v>17854</v>
      </c>
      <c r="BY168" s="15">
        <v>148778</v>
      </c>
      <c r="BZ168" s="15">
        <v>68807</v>
      </c>
      <c r="CA168" s="15">
        <v>0</v>
      </c>
      <c r="CB168" s="15">
        <v>384217</v>
      </c>
      <c r="CC168" s="15">
        <v>2462113</v>
      </c>
      <c r="CD168" s="16">
        <v>154753.03409090918</v>
      </c>
      <c r="CE168" s="15">
        <v>0</v>
      </c>
      <c r="CF168" s="14">
        <f t="shared" si="95"/>
        <v>2722519</v>
      </c>
      <c r="CG168" s="18"/>
      <c r="CH168" s="16"/>
      <c r="CI168" s="22"/>
      <c r="CJ168" s="17"/>
    </row>
    <row r="169" spans="1:88" s="13" customFormat="1" x14ac:dyDescent="0.35">
      <c r="A169" s="13">
        <v>1015426981</v>
      </c>
      <c r="B169" s="17" t="s">
        <v>95</v>
      </c>
      <c r="C169" s="17" t="s">
        <v>83</v>
      </c>
      <c r="D169" s="17" t="s">
        <v>286</v>
      </c>
      <c r="E169" s="17">
        <v>6571</v>
      </c>
      <c r="F169" s="17" t="s">
        <v>88</v>
      </c>
      <c r="G169" s="17" t="s">
        <v>89</v>
      </c>
      <c r="H169" s="17">
        <v>1015426981</v>
      </c>
      <c r="I169" s="17" t="s">
        <v>272</v>
      </c>
      <c r="J169" s="17" t="s">
        <v>94</v>
      </c>
      <c r="K169" s="17">
        <v>0</v>
      </c>
      <c r="L169" s="17">
        <v>0</v>
      </c>
      <c r="M169" s="17" t="s">
        <v>96</v>
      </c>
      <c r="N169" s="19">
        <v>45856</v>
      </c>
      <c r="O169" s="19">
        <v>1</v>
      </c>
      <c r="P169" s="20">
        <v>782925</v>
      </c>
      <c r="Q169" s="17">
        <v>30</v>
      </c>
      <c r="R169" s="14">
        <f t="shared" si="89"/>
        <v>782925</v>
      </c>
      <c r="S169" s="15">
        <v>200000</v>
      </c>
      <c r="T169" s="15">
        <v>0</v>
      </c>
      <c r="U169" s="7">
        <f t="shared" ref="U169:U171" si="96">+P169/110*T169*1.25</f>
        <v>0</v>
      </c>
      <c r="V169" s="15">
        <v>0</v>
      </c>
      <c r="W169" s="7">
        <f t="shared" ref="W169:W171" si="97">+P169/110*V169*1.75</f>
        <v>0</v>
      </c>
      <c r="X169" s="15">
        <v>0</v>
      </c>
      <c r="Y169" s="7">
        <f t="shared" si="73"/>
        <v>0</v>
      </c>
      <c r="Z169" s="15">
        <v>0</v>
      </c>
      <c r="AA169" s="7">
        <f t="shared" si="74"/>
        <v>0</v>
      </c>
      <c r="AB169" s="15">
        <v>0</v>
      </c>
      <c r="AC169" s="14">
        <f t="shared" si="75"/>
        <v>0</v>
      </c>
      <c r="AD169" s="14">
        <f t="shared" si="90"/>
        <v>0</v>
      </c>
      <c r="AE169" s="14">
        <f t="shared" si="91"/>
        <v>0</v>
      </c>
      <c r="AF169" s="15">
        <v>0</v>
      </c>
      <c r="AG169" s="7">
        <f t="shared" si="76"/>
        <v>0</v>
      </c>
      <c r="AH169" s="15">
        <v>0</v>
      </c>
      <c r="AI169" s="7">
        <f t="shared" si="77"/>
        <v>0</v>
      </c>
      <c r="AJ169" s="15">
        <v>0</v>
      </c>
      <c r="AK169" s="14">
        <f t="shared" si="78"/>
        <v>0</v>
      </c>
      <c r="AL169" s="15">
        <v>0</v>
      </c>
      <c r="AM169" s="7">
        <f t="shared" si="79"/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31.5</v>
      </c>
      <c r="AS169" s="7">
        <f t="shared" ref="AS169:AS171" si="98">+P169/110*AR169*0.35</f>
        <v>78470.4375</v>
      </c>
      <c r="AT169" s="14">
        <f t="shared" si="92"/>
        <v>31.5</v>
      </c>
      <c r="AU169" s="14">
        <f t="shared" si="92"/>
        <v>78470.4375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51700</v>
      </c>
      <c r="BL169" s="15">
        <v>0</v>
      </c>
      <c r="BM169" s="15">
        <v>0</v>
      </c>
      <c r="BN169" s="15">
        <v>0</v>
      </c>
      <c r="BO169" s="15">
        <v>0</v>
      </c>
      <c r="BP169" s="15">
        <v>170860</v>
      </c>
      <c r="BQ169" s="15">
        <v>7500</v>
      </c>
      <c r="BR169" s="14">
        <f t="shared" si="93"/>
        <v>178360</v>
      </c>
      <c r="BS169" s="15">
        <v>34500</v>
      </c>
      <c r="BT169" s="15">
        <v>0</v>
      </c>
      <c r="BU169" s="15">
        <v>0</v>
      </c>
      <c r="BV169" s="14">
        <f t="shared" si="94"/>
        <v>34500</v>
      </c>
      <c r="BW169" s="15">
        <v>88446</v>
      </c>
      <c r="BX169" s="15">
        <v>10614</v>
      </c>
      <c r="BY169" s="15">
        <v>88446</v>
      </c>
      <c r="BZ169" s="15">
        <v>37384</v>
      </c>
      <c r="CA169" s="15">
        <v>0</v>
      </c>
      <c r="CB169" s="15">
        <v>224890</v>
      </c>
      <c r="CC169" s="15">
        <v>1499146</v>
      </c>
      <c r="CD169" s="15">
        <v>93052</v>
      </c>
      <c r="CE169" s="15">
        <v>0</v>
      </c>
      <c r="CF169" s="14">
        <f t="shared" si="95"/>
        <v>1643897.4375</v>
      </c>
      <c r="CG169" s="18"/>
      <c r="CH169" s="16"/>
      <c r="CI169" s="17"/>
      <c r="CJ169" s="17"/>
    </row>
    <row r="170" spans="1:88" s="13" customFormat="1" x14ac:dyDescent="0.35">
      <c r="A170" s="13">
        <v>1012423331</v>
      </c>
      <c r="B170" s="17" t="s">
        <v>95</v>
      </c>
      <c r="C170" s="17" t="s">
        <v>83</v>
      </c>
      <c r="D170" s="17" t="s">
        <v>286</v>
      </c>
      <c r="E170" s="17">
        <v>6571</v>
      </c>
      <c r="F170" s="17" t="s">
        <v>88</v>
      </c>
      <c r="G170" s="17" t="s">
        <v>89</v>
      </c>
      <c r="H170" s="17">
        <v>1012423331</v>
      </c>
      <c r="I170" s="17" t="s">
        <v>273</v>
      </c>
      <c r="J170" s="17" t="s">
        <v>94</v>
      </c>
      <c r="K170" s="17">
        <v>0</v>
      </c>
      <c r="L170" s="17">
        <v>0</v>
      </c>
      <c r="M170" s="17" t="s">
        <v>96</v>
      </c>
      <c r="N170" s="19">
        <v>45856</v>
      </c>
      <c r="O170" s="19">
        <v>1</v>
      </c>
      <c r="P170" s="20">
        <v>782925</v>
      </c>
      <c r="Q170" s="17">
        <v>30</v>
      </c>
      <c r="R170" s="14">
        <f t="shared" si="89"/>
        <v>782925</v>
      </c>
      <c r="S170" s="15">
        <v>200000</v>
      </c>
      <c r="T170" s="15">
        <v>0</v>
      </c>
      <c r="U170" s="7">
        <f t="shared" si="96"/>
        <v>0</v>
      </c>
      <c r="V170" s="15">
        <v>0</v>
      </c>
      <c r="W170" s="7">
        <f t="shared" si="97"/>
        <v>0</v>
      </c>
      <c r="X170" s="15">
        <v>0</v>
      </c>
      <c r="Y170" s="7">
        <f t="shared" si="73"/>
        <v>0</v>
      </c>
      <c r="Z170" s="15">
        <v>0</v>
      </c>
      <c r="AA170" s="7">
        <f t="shared" si="74"/>
        <v>0</v>
      </c>
      <c r="AB170" s="15">
        <v>0</v>
      </c>
      <c r="AC170" s="14">
        <f t="shared" si="75"/>
        <v>0</v>
      </c>
      <c r="AD170" s="14">
        <f t="shared" si="90"/>
        <v>0</v>
      </c>
      <c r="AE170" s="14">
        <f t="shared" si="91"/>
        <v>0</v>
      </c>
      <c r="AF170" s="15">
        <v>0</v>
      </c>
      <c r="AG170" s="7">
        <f t="shared" si="76"/>
        <v>0</v>
      </c>
      <c r="AH170" s="15">
        <v>0</v>
      </c>
      <c r="AI170" s="7">
        <f t="shared" si="77"/>
        <v>0</v>
      </c>
      <c r="AJ170" s="15">
        <v>0</v>
      </c>
      <c r="AK170" s="14">
        <f t="shared" si="78"/>
        <v>0</v>
      </c>
      <c r="AL170" s="15">
        <v>0</v>
      </c>
      <c r="AM170" s="7">
        <f t="shared" si="79"/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32.270000000000003</v>
      </c>
      <c r="AS170" s="7">
        <f t="shared" si="98"/>
        <v>80388.603750000009</v>
      </c>
      <c r="AT170" s="14">
        <f t="shared" si="92"/>
        <v>32.270000000000003</v>
      </c>
      <c r="AU170" s="14">
        <f t="shared" si="92"/>
        <v>80388.603750000009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51700</v>
      </c>
      <c r="BL170" s="15">
        <v>0</v>
      </c>
      <c r="BM170" s="15">
        <v>0</v>
      </c>
      <c r="BN170" s="15">
        <v>0</v>
      </c>
      <c r="BO170" s="15">
        <v>0</v>
      </c>
      <c r="BP170" s="15">
        <v>170860</v>
      </c>
      <c r="BQ170" s="15">
        <v>7500</v>
      </c>
      <c r="BR170" s="14">
        <f t="shared" si="93"/>
        <v>178360</v>
      </c>
      <c r="BS170" s="15">
        <v>34600</v>
      </c>
      <c r="BT170" s="15">
        <v>0</v>
      </c>
      <c r="BU170" s="15">
        <v>0</v>
      </c>
      <c r="BV170" s="14">
        <f t="shared" si="94"/>
        <v>34600</v>
      </c>
      <c r="BW170" s="15">
        <v>88606</v>
      </c>
      <c r="BX170" s="15">
        <v>10633</v>
      </c>
      <c r="BY170" s="15">
        <v>88606</v>
      </c>
      <c r="BZ170" s="15">
        <v>37467</v>
      </c>
      <c r="CA170" s="15">
        <v>0</v>
      </c>
      <c r="CB170" s="15">
        <v>225312</v>
      </c>
      <c r="CC170" s="15">
        <v>1501587</v>
      </c>
      <c r="CD170" s="15">
        <v>93197</v>
      </c>
      <c r="CE170" s="15">
        <v>0</v>
      </c>
      <c r="CF170" s="14">
        <f t="shared" si="95"/>
        <v>1646482.60375</v>
      </c>
      <c r="CG170" s="18"/>
      <c r="CH170" s="16"/>
      <c r="CI170" s="17"/>
      <c r="CJ170" s="17"/>
    </row>
    <row r="171" spans="1:88" s="13" customFormat="1" x14ac:dyDescent="0.35">
      <c r="A171" s="13">
        <v>1144074913</v>
      </c>
      <c r="B171" s="17" t="s">
        <v>95</v>
      </c>
      <c r="C171" s="17" t="s">
        <v>83</v>
      </c>
      <c r="D171" s="17" t="s">
        <v>286</v>
      </c>
      <c r="E171" s="17">
        <v>1980</v>
      </c>
      <c r="F171" s="17" t="s">
        <v>92</v>
      </c>
      <c r="G171" s="17" t="s">
        <v>93</v>
      </c>
      <c r="H171" s="17">
        <v>1144074913</v>
      </c>
      <c r="I171" s="17" t="s">
        <v>274</v>
      </c>
      <c r="J171" s="17" t="s">
        <v>94</v>
      </c>
      <c r="K171" s="17">
        <v>0</v>
      </c>
      <c r="L171" s="17">
        <v>0</v>
      </c>
      <c r="M171" s="17" t="s">
        <v>96</v>
      </c>
      <c r="N171" s="19">
        <v>45856</v>
      </c>
      <c r="O171" s="19">
        <v>45878</v>
      </c>
      <c r="P171" s="20">
        <v>782925</v>
      </c>
      <c r="Q171" s="17">
        <v>9</v>
      </c>
      <c r="R171" s="14">
        <f t="shared" si="89"/>
        <v>234877.5</v>
      </c>
      <c r="S171" s="15">
        <v>60000</v>
      </c>
      <c r="T171" s="15">
        <v>5</v>
      </c>
      <c r="U171" s="7">
        <f t="shared" si="96"/>
        <v>44484.375</v>
      </c>
      <c r="V171" s="15">
        <v>0</v>
      </c>
      <c r="W171" s="7">
        <f t="shared" si="97"/>
        <v>0</v>
      </c>
      <c r="X171" s="15">
        <v>0</v>
      </c>
      <c r="Y171" s="7">
        <f t="shared" si="73"/>
        <v>0</v>
      </c>
      <c r="Z171" s="15">
        <v>0</v>
      </c>
      <c r="AA171" s="7">
        <f t="shared" si="74"/>
        <v>0</v>
      </c>
      <c r="AB171" s="15">
        <v>0</v>
      </c>
      <c r="AC171" s="14">
        <f t="shared" si="75"/>
        <v>0</v>
      </c>
      <c r="AD171" s="14">
        <f t="shared" si="90"/>
        <v>5</v>
      </c>
      <c r="AE171" s="14">
        <f t="shared" si="91"/>
        <v>44484.375</v>
      </c>
      <c r="AF171" s="15">
        <v>0</v>
      </c>
      <c r="AG171" s="7">
        <f t="shared" si="76"/>
        <v>0</v>
      </c>
      <c r="AH171" s="15">
        <v>0</v>
      </c>
      <c r="AI171" s="7">
        <f t="shared" si="77"/>
        <v>0</v>
      </c>
      <c r="AJ171" s="15">
        <v>0</v>
      </c>
      <c r="AK171" s="14">
        <f t="shared" si="78"/>
        <v>0</v>
      </c>
      <c r="AL171" s="15">
        <v>0</v>
      </c>
      <c r="AM171" s="7">
        <f t="shared" si="79"/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2.97</v>
      </c>
      <c r="AS171" s="7">
        <f t="shared" si="98"/>
        <v>7398.6412500000006</v>
      </c>
      <c r="AT171" s="14">
        <f t="shared" si="92"/>
        <v>2.97</v>
      </c>
      <c r="AU171" s="14">
        <f t="shared" si="92"/>
        <v>7398.6412500000006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190734</v>
      </c>
      <c r="BD171" s="15">
        <v>0</v>
      </c>
      <c r="BE171" s="15">
        <v>240698</v>
      </c>
      <c r="BF171" s="15">
        <v>0</v>
      </c>
      <c r="BG171" s="15">
        <v>0</v>
      </c>
      <c r="BH171" s="15">
        <v>52196</v>
      </c>
      <c r="BI171" s="15">
        <v>0</v>
      </c>
      <c r="BJ171" s="15">
        <v>0</v>
      </c>
      <c r="BK171" s="15">
        <v>34900</v>
      </c>
      <c r="BL171" s="15">
        <v>0</v>
      </c>
      <c r="BM171" s="15">
        <v>0</v>
      </c>
      <c r="BN171" s="15">
        <v>0</v>
      </c>
      <c r="BO171" s="15">
        <v>0</v>
      </c>
      <c r="BP171" s="15">
        <v>55522</v>
      </c>
      <c r="BQ171" s="15">
        <v>11300</v>
      </c>
      <c r="BR171" s="14">
        <f t="shared" si="93"/>
        <v>66822</v>
      </c>
      <c r="BS171" s="15">
        <v>13600</v>
      </c>
      <c r="BT171" s="15">
        <v>0</v>
      </c>
      <c r="BU171" s="15">
        <v>0</v>
      </c>
      <c r="BV171" s="14">
        <f t="shared" si="94"/>
        <v>13600</v>
      </c>
      <c r="BW171" s="15">
        <v>33245</v>
      </c>
      <c r="BX171" s="15">
        <v>3990</v>
      </c>
      <c r="BY171" s="15">
        <v>33245</v>
      </c>
      <c r="BZ171" s="15">
        <v>12534</v>
      </c>
      <c r="CA171" s="15">
        <v>0</v>
      </c>
      <c r="CB171" s="15">
        <v>83014</v>
      </c>
      <c r="CC171" s="15">
        <v>993825</v>
      </c>
      <c r="CD171" s="15">
        <v>61723</v>
      </c>
      <c r="CE171" s="15">
        <v>0</v>
      </c>
      <c r="CF171" s="14">
        <f t="shared" si="95"/>
        <v>1090447.5162499999</v>
      </c>
      <c r="CG171" s="18"/>
      <c r="CH171" s="16"/>
      <c r="CI171" s="17"/>
      <c r="CJ171" s="17"/>
    </row>
    <row r="172" spans="1:88" s="13" customFormat="1" x14ac:dyDescent="0.35">
      <c r="A172" s="13">
        <v>52655994</v>
      </c>
      <c r="B172" s="17" t="s">
        <v>95</v>
      </c>
      <c r="C172" s="17" t="s">
        <v>83</v>
      </c>
      <c r="D172" s="17" t="s">
        <v>286</v>
      </c>
      <c r="E172" s="17">
        <v>6563</v>
      </c>
      <c r="F172" s="17" t="s">
        <v>84</v>
      </c>
      <c r="G172" s="17" t="s">
        <v>85</v>
      </c>
      <c r="H172" s="17">
        <v>52655994</v>
      </c>
      <c r="I172" s="17" t="s">
        <v>275</v>
      </c>
      <c r="J172" s="17" t="s">
        <v>94</v>
      </c>
      <c r="K172" s="17">
        <v>0</v>
      </c>
      <c r="L172" s="17">
        <v>0</v>
      </c>
      <c r="M172" s="17" t="s">
        <v>96</v>
      </c>
      <c r="N172" s="19">
        <v>45859</v>
      </c>
      <c r="O172" s="19">
        <v>1</v>
      </c>
      <c r="P172" s="20">
        <v>1423500</v>
      </c>
      <c r="Q172" s="17">
        <v>30</v>
      </c>
      <c r="R172" s="14">
        <f t="shared" si="89"/>
        <v>1423500</v>
      </c>
      <c r="S172" s="15">
        <v>200000</v>
      </c>
      <c r="T172" s="15">
        <v>0</v>
      </c>
      <c r="U172" s="7">
        <f t="shared" si="83"/>
        <v>0</v>
      </c>
      <c r="V172" s="15">
        <v>0</v>
      </c>
      <c r="W172" s="7">
        <f t="shared" si="84"/>
        <v>0</v>
      </c>
      <c r="X172" s="15">
        <v>0</v>
      </c>
      <c r="Y172" s="7">
        <f t="shared" si="73"/>
        <v>0</v>
      </c>
      <c r="Z172" s="15">
        <v>0</v>
      </c>
      <c r="AA172" s="7">
        <f t="shared" si="74"/>
        <v>0</v>
      </c>
      <c r="AB172" s="15">
        <v>0</v>
      </c>
      <c r="AC172" s="14">
        <f t="shared" si="75"/>
        <v>0</v>
      </c>
      <c r="AD172" s="14">
        <f t="shared" si="90"/>
        <v>0</v>
      </c>
      <c r="AE172" s="14">
        <f t="shared" si="91"/>
        <v>0</v>
      </c>
      <c r="AF172" s="15">
        <v>0</v>
      </c>
      <c r="AG172" s="7">
        <f t="shared" si="76"/>
        <v>0</v>
      </c>
      <c r="AH172" s="15">
        <v>0</v>
      </c>
      <c r="AI172" s="7">
        <f t="shared" si="77"/>
        <v>0</v>
      </c>
      <c r="AJ172" s="15">
        <v>0</v>
      </c>
      <c r="AK172" s="14">
        <f t="shared" si="78"/>
        <v>0</v>
      </c>
      <c r="AL172" s="15">
        <v>0</v>
      </c>
      <c r="AM172" s="7">
        <f t="shared" si="79"/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7">
        <f t="shared" si="85"/>
        <v>0</v>
      </c>
      <c r="AT172" s="14">
        <f t="shared" si="92"/>
        <v>0</v>
      </c>
      <c r="AU172" s="14">
        <f t="shared" si="92"/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36735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106300</v>
      </c>
      <c r="BL172" s="15">
        <v>0</v>
      </c>
      <c r="BM172" s="15">
        <v>0</v>
      </c>
      <c r="BN172" s="15">
        <v>0</v>
      </c>
      <c r="BO172" s="15">
        <v>0</v>
      </c>
      <c r="BP172" s="15">
        <v>175291</v>
      </c>
      <c r="BQ172" s="15">
        <v>7700</v>
      </c>
      <c r="BR172" s="14">
        <f t="shared" si="93"/>
        <v>182991</v>
      </c>
      <c r="BS172" s="15">
        <v>58500</v>
      </c>
      <c r="BT172" s="15">
        <v>0</v>
      </c>
      <c r="BU172" s="15">
        <v>0</v>
      </c>
      <c r="BV172" s="14">
        <f t="shared" si="94"/>
        <v>58500</v>
      </c>
      <c r="BW172" s="15">
        <v>138347</v>
      </c>
      <c r="BX172" s="15">
        <v>16602</v>
      </c>
      <c r="BY172" s="15">
        <v>138347</v>
      </c>
      <c r="BZ172" s="15">
        <v>63374</v>
      </c>
      <c r="CA172" s="15">
        <v>0</v>
      </c>
      <c r="CB172" s="15">
        <v>356670</v>
      </c>
      <c r="CC172" s="15">
        <v>2258396</v>
      </c>
      <c r="CD172" s="15">
        <v>141883</v>
      </c>
      <c r="CE172" s="15">
        <v>0</v>
      </c>
      <c r="CF172" s="14">
        <f t="shared" si="95"/>
        <v>2506579</v>
      </c>
      <c r="CG172" s="18"/>
      <c r="CH172" s="16"/>
      <c r="CI172" s="17"/>
      <c r="CJ172" s="17"/>
    </row>
    <row r="173" spans="1:88" s="13" customFormat="1" x14ac:dyDescent="0.35">
      <c r="A173" s="13">
        <v>1073177090</v>
      </c>
      <c r="B173" s="17" t="s">
        <v>95</v>
      </c>
      <c r="C173" s="17" t="s">
        <v>83</v>
      </c>
      <c r="D173" s="17" t="s">
        <v>286</v>
      </c>
      <c r="E173" s="17">
        <v>6563</v>
      </c>
      <c r="F173" s="17" t="s">
        <v>84</v>
      </c>
      <c r="G173" s="17" t="s">
        <v>85</v>
      </c>
      <c r="H173" s="17">
        <v>1073177090</v>
      </c>
      <c r="I173" s="17" t="s">
        <v>276</v>
      </c>
      <c r="J173" s="17" t="s">
        <v>94</v>
      </c>
      <c r="K173" s="17">
        <v>0</v>
      </c>
      <c r="L173" s="17">
        <v>0</v>
      </c>
      <c r="M173" s="17" t="s">
        <v>96</v>
      </c>
      <c r="N173" s="19">
        <v>45859</v>
      </c>
      <c r="O173" s="19">
        <v>1</v>
      </c>
      <c r="P173" s="20">
        <v>1423500</v>
      </c>
      <c r="Q173" s="17">
        <v>30</v>
      </c>
      <c r="R173" s="14">
        <f t="shared" si="89"/>
        <v>1423500</v>
      </c>
      <c r="S173" s="15">
        <v>200000</v>
      </c>
      <c r="T173" s="15">
        <v>0</v>
      </c>
      <c r="U173" s="7">
        <f t="shared" si="83"/>
        <v>0</v>
      </c>
      <c r="V173" s="15">
        <v>0</v>
      </c>
      <c r="W173" s="7">
        <f t="shared" si="84"/>
        <v>0</v>
      </c>
      <c r="X173" s="15">
        <v>0</v>
      </c>
      <c r="Y173" s="7">
        <f t="shared" si="73"/>
        <v>0</v>
      </c>
      <c r="Z173" s="15">
        <v>0</v>
      </c>
      <c r="AA173" s="7">
        <f t="shared" si="74"/>
        <v>0</v>
      </c>
      <c r="AB173" s="15">
        <v>0</v>
      </c>
      <c r="AC173" s="14">
        <f t="shared" si="75"/>
        <v>0</v>
      </c>
      <c r="AD173" s="14">
        <f t="shared" si="90"/>
        <v>0</v>
      </c>
      <c r="AE173" s="14">
        <f t="shared" si="91"/>
        <v>0</v>
      </c>
      <c r="AF173" s="15">
        <v>0</v>
      </c>
      <c r="AG173" s="7">
        <f t="shared" si="76"/>
        <v>0</v>
      </c>
      <c r="AH173" s="15">
        <v>0</v>
      </c>
      <c r="AI173" s="7">
        <f t="shared" si="77"/>
        <v>0</v>
      </c>
      <c r="AJ173" s="15">
        <v>2</v>
      </c>
      <c r="AK173" s="14">
        <f t="shared" si="78"/>
        <v>27175.909090909092</v>
      </c>
      <c r="AL173" s="15">
        <v>0</v>
      </c>
      <c r="AM173" s="7">
        <f t="shared" si="79"/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35</v>
      </c>
      <c r="AS173" s="7">
        <f t="shared" si="85"/>
        <v>79263.068181818177</v>
      </c>
      <c r="AT173" s="14">
        <f t="shared" si="92"/>
        <v>37</v>
      </c>
      <c r="AU173" s="14">
        <f t="shared" si="92"/>
        <v>106438.97727272726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36735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106300</v>
      </c>
      <c r="BL173" s="15">
        <v>0</v>
      </c>
      <c r="BM173" s="15">
        <v>0</v>
      </c>
      <c r="BN173" s="15">
        <v>0</v>
      </c>
      <c r="BO173" s="15">
        <v>0</v>
      </c>
      <c r="BP173" s="15">
        <v>188107</v>
      </c>
      <c r="BQ173" s="15">
        <v>8200</v>
      </c>
      <c r="BR173" s="14">
        <f t="shared" si="93"/>
        <v>196307</v>
      </c>
      <c r="BS173" s="15">
        <v>62700</v>
      </c>
      <c r="BT173" s="15">
        <v>0</v>
      </c>
      <c r="BU173" s="15">
        <v>0</v>
      </c>
      <c r="BV173" s="14">
        <f t="shared" si="94"/>
        <v>62700</v>
      </c>
      <c r="BW173" s="15">
        <v>147271</v>
      </c>
      <c r="BX173" s="15">
        <v>17673</v>
      </c>
      <c r="BY173" s="15">
        <v>147271</v>
      </c>
      <c r="BZ173" s="15">
        <v>68021</v>
      </c>
      <c r="CA173" s="15">
        <v>0</v>
      </c>
      <c r="CB173" s="15">
        <v>380236</v>
      </c>
      <c r="CC173" s="15">
        <v>2406564</v>
      </c>
      <c r="CD173" s="16">
        <v>151421.02272727247</v>
      </c>
      <c r="CE173" s="15">
        <v>0</v>
      </c>
      <c r="CF173" s="14">
        <f t="shared" si="95"/>
        <v>2663638</v>
      </c>
      <c r="CG173" s="18"/>
      <c r="CH173" s="16"/>
      <c r="CI173" s="22"/>
      <c r="CJ173" s="17"/>
    </row>
    <row r="174" spans="1:88" s="13" customFormat="1" x14ac:dyDescent="0.35">
      <c r="A174" s="13">
        <v>1030666542</v>
      </c>
      <c r="B174" s="17" t="s">
        <v>95</v>
      </c>
      <c r="C174" s="17" t="s">
        <v>83</v>
      </c>
      <c r="D174" s="17" t="s">
        <v>286</v>
      </c>
      <c r="E174" s="17">
        <v>6563</v>
      </c>
      <c r="F174" s="17" t="s">
        <v>84</v>
      </c>
      <c r="G174" s="17" t="s">
        <v>85</v>
      </c>
      <c r="H174" s="17">
        <v>1030666542</v>
      </c>
      <c r="I174" s="17" t="s">
        <v>277</v>
      </c>
      <c r="J174" s="17" t="s">
        <v>94</v>
      </c>
      <c r="K174" s="17">
        <v>0</v>
      </c>
      <c r="L174" s="17">
        <v>0</v>
      </c>
      <c r="M174" s="17" t="s">
        <v>96</v>
      </c>
      <c r="N174" s="19">
        <v>45859</v>
      </c>
      <c r="O174" s="19">
        <v>45864</v>
      </c>
      <c r="P174" s="20">
        <v>1423500</v>
      </c>
      <c r="Q174" s="17">
        <v>1</v>
      </c>
      <c r="R174" s="14">
        <f t="shared" si="89"/>
        <v>47450</v>
      </c>
      <c r="S174" s="15">
        <v>6667</v>
      </c>
      <c r="T174" s="15">
        <v>0</v>
      </c>
      <c r="U174" s="7">
        <f t="shared" si="83"/>
        <v>0</v>
      </c>
      <c r="V174" s="15">
        <v>0</v>
      </c>
      <c r="W174" s="7">
        <f t="shared" si="84"/>
        <v>0</v>
      </c>
      <c r="X174" s="15">
        <v>0</v>
      </c>
      <c r="Y174" s="7">
        <f t="shared" si="73"/>
        <v>0</v>
      </c>
      <c r="Z174" s="15">
        <v>0</v>
      </c>
      <c r="AA174" s="7">
        <f t="shared" si="74"/>
        <v>0</v>
      </c>
      <c r="AB174" s="15">
        <v>0</v>
      </c>
      <c r="AC174" s="14">
        <f t="shared" si="75"/>
        <v>0</v>
      </c>
      <c r="AD174" s="14">
        <f t="shared" si="90"/>
        <v>0</v>
      </c>
      <c r="AE174" s="14">
        <f t="shared" si="91"/>
        <v>0</v>
      </c>
      <c r="AF174" s="15">
        <v>0</v>
      </c>
      <c r="AG174" s="7">
        <f t="shared" si="76"/>
        <v>0</v>
      </c>
      <c r="AH174" s="15">
        <v>0</v>
      </c>
      <c r="AI174" s="7">
        <f t="shared" si="77"/>
        <v>0</v>
      </c>
      <c r="AJ174" s="15">
        <v>0</v>
      </c>
      <c r="AK174" s="14">
        <f t="shared" si="78"/>
        <v>0</v>
      </c>
      <c r="AL174" s="15">
        <v>0</v>
      </c>
      <c r="AM174" s="7">
        <f t="shared" si="79"/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7">
        <f t="shared" si="85"/>
        <v>0</v>
      </c>
      <c r="AT174" s="14">
        <f t="shared" si="92"/>
        <v>0</v>
      </c>
      <c r="AU174" s="14">
        <f t="shared" si="92"/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-127551</v>
      </c>
      <c r="BI174" s="15">
        <v>0</v>
      </c>
      <c r="BJ174" s="15">
        <v>0</v>
      </c>
      <c r="BK174" s="15">
        <v>106300</v>
      </c>
      <c r="BL174" s="15">
        <v>0</v>
      </c>
      <c r="BM174" s="15">
        <v>0</v>
      </c>
      <c r="BN174" s="15">
        <v>0</v>
      </c>
      <c r="BO174" s="15">
        <v>0</v>
      </c>
      <c r="BP174" s="15">
        <v>5704</v>
      </c>
      <c r="BQ174" s="15">
        <v>300</v>
      </c>
      <c r="BR174" s="14">
        <f t="shared" si="93"/>
        <v>6004</v>
      </c>
      <c r="BS174" s="15">
        <v>-700</v>
      </c>
      <c r="BT174" s="15">
        <v>0</v>
      </c>
      <c r="BU174" s="15">
        <v>0</v>
      </c>
      <c r="BV174" s="14">
        <f t="shared" si="94"/>
        <v>-700</v>
      </c>
      <c r="BW174" s="15">
        <v>-13529</v>
      </c>
      <c r="BX174" s="15">
        <v>-1624</v>
      </c>
      <c r="BY174" s="15">
        <v>-13529</v>
      </c>
      <c r="BZ174" s="15">
        <v>-6178</v>
      </c>
      <c r="CA174" s="15">
        <v>0</v>
      </c>
      <c r="CB174" s="15">
        <v>-34860</v>
      </c>
      <c r="CC174" s="15">
        <v>-102990</v>
      </c>
      <c r="CD174" s="15">
        <v>198</v>
      </c>
      <c r="CE174" s="15">
        <v>0</v>
      </c>
      <c r="CF174" s="14">
        <f t="shared" si="95"/>
        <v>3508</v>
      </c>
      <c r="CG174" s="18"/>
      <c r="CH174" s="16"/>
      <c r="CI174" s="17"/>
      <c r="CJ174" s="17"/>
    </row>
    <row r="175" spans="1:88" s="13" customFormat="1" x14ac:dyDescent="0.35">
      <c r="A175" s="13">
        <v>1073170826</v>
      </c>
      <c r="B175" s="17" t="s">
        <v>95</v>
      </c>
      <c r="C175" s="17" t="s">
        <v>83</v>
      </c>
      <c r="D175" s="17" t="s">
        <v>286</v>
      </c>
      <c r="E175" s="17">
        <v>6563</v>
      </c>
      <c r="F175" s="17" t="s">
        <v>84</v>
      </c>
      <c r="G175" s="17" t="s">
        <v>85</v>
      </c>
      <c r="H175" s="17">
        <v>1073170826</v>
      </c>
      <c r="I175" s="17" t="s">
        <v>278</v>
      </c>
      <c r="J175" s="17" t="s">
        <v>94</v>
      </c>
      <c r="K175" s="17">
        <v>0</v>
      </c>
      <c r="L175" s="17">
        <v>0</v>
      </c>
      <c r="M175" s="17" t="s">
        <v>96</v>
      </c>
      <c r="N175" s="19">
        <v>45859</v>
      </c>
      <c r="O175" s="19">
        <v>45860</v>
      </c>
      <c r="P175" s="20">
        <v>1423500</v>
      </c>
      <c r="Q175" s="17">
        <v>1</v>
      </c>
      <c r="R175" s="14">
        <f t="shared" si="89"/>
        <v>47450</v>
      </c>
      <c r="S175" s="15">
        <v>6667</v>
      </c>
      <c r="T175" s="15">
        <v>0</v>
      </c>
      <c r="U175" s="7">
        <f t="shared" si="83"/>
        <v>0</v>
      </c>
      <c r="V175" s="15">
        <v>0</v>
      </c>
      <c r="W175" s="7">
        <f t="shared" si="84"/>
        <v>0</v>
      </c>
      <c r="X175" s="15">
        <v>0</v>
      </c>
      <c r="Y175" s="7">
        <f t="shared" si="73"/>
        <v>0</v>
      </c>
      <c r="Z175" s="15">
        <v>0</v>
      </c>
      <c r="AA175" s="7">
        <f t="shared" si="74"/>
        <v>0</v>
      </c>
      <c r="AB175" s="15">
        <v>0</v>
      </c>
      <c r="AC175" s="14">
        <f t="shared" si="75"/>
        <v>0</v>
      </c>
      <c r="AD175" s="14">
        <f t="shared" si="90"/>
        <v>0</v>
      </c>
      <c r="AE175" s="14">
        <f t="shared" si="91"/>
        <v>0</v>
      </c>
      <c r="AF175" s="15">
        <v>0</v>
      </c>
      <c r="AG175" s="7">
        <f t="shared" si="76"/>
        <v>0</v>
      </c>
      <c r="AH175" s="15">
        <v>0</v>
      </c>
      <c r="AI175" s="7">
        <f t="shared" si="77"/>
        <v>0</v>
      </c>
      <c r="AJ175" s="15">
        <v>0</v>
      </c>
      <c r="AK175" s="14">
        <f t="shared" si="78"/>
        <v>0</v>
      </c>
      <c r="AL175" s="15">
        <v>0</v>
      </c>
      <c r="AM175" s="7">
        <f t="shared" si="79"/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7">
        <f t="shared" si="85"/>
        <v>0</v>
      </c>
      <c r="AT175" s="14">
        <f t="shared" si="92"/>
        <v>0</v>
      </c>
      <c r="AU175" s="14">
        <f t="shared" si="92"/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-128832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5704</v>
      </c>
      <c r="BQ175" s="15">
        <v>1200</v>
      </c>
      <c r="BR175" s="14">
        <f t="shared" si="93"/>
        <v>6904</v>
      </c>
      <c r="BS175" s="15">
        <v>-500</v>
      </c>
      <c r="BT175" s="15">
        <v>0</v>
      </c>
      <c r="BU175" s="15">
        <v>0</v>
      </c>
      <c r="BV175" s="14">
        <f t="shared" si="94"/>
        <v>-500</v>
      </c>
      <c r="BW175" s="15">
        <v>-36076</v>
      </c>
      <c r="BX175" s="15">
        <v>-4329</v>
      </c>
      <c r="BY175" s="15">
        <v>-36076</v>
      </c>
      <c r="BZ175" s="15">
        <v>-16474</v>
      </c>
      <c r="CA175" s="15">
        <v>0</v>
      </c>
      <c r="CB175" s="15">
        <v>-92955</v>
      </c>
      <c r="CC175" s="15">
        <v>-161266</v>
      </c>
      <c r="CD175" s="15">
        <v>-9678</v>
      </c>
      <c r="CE175" s="15">
        <v>0</v>
      </c>
      <c r="CF175" s="14">
        <f t="shared" si="95"/>
        <v>-170944</v>
      </c>
      <c r="CG175" s="18"/>
      <c r="CH175" s="16"/>
      <c r="CI175" s="17"/>
      <c r="CJ175" s="17"/>
    </row>
    <row r="176" spans="1:88" s="13" customFormat="1" x14ac:dyDescent="0.35">
      <c r="A176" s="13">
        <v>1019902463</v>
      </c>
      <c r="B176" s="17" t="s">
        <v>95</v>
      </c>
      <c r="C176" s="17" t="s">
        <v>83</v>
      </c>
      <c r="D176" s="17" t="s">
        <v>286</v>
      </c>
      <c r="E176" s="17">
        <v>6563</v>
      </c>
      <c r="F176" s="17" t="s">
        <v>84</v>
      </c>
      <c r="G176" s="17" t="s">
        <v>85</v>
      </c>
      <c r="H176" s="17">
        <v>1019902463</v>
      </c>
      <c r="I176" s="17" t="s">
        <v>279</v>
      </c>
      <c r="J176" s="17" t="s">
        <v>94</v>
      </c>
      <c r="K176" s="17">
        <v>0</v>
      </c>
      <c r="L176" s="17">
        <v>0</v>
      </c>
      <c r="M176" s="17" t="s">
        <v>96</v>
      </c>
      <c r="N176" s="19">
        <v>45859</v>
      </c>
      <c r="O176" s="19">
        <v>45882</v>
      </c>
      <c r="P176" s="20">
        <v>1423500</v>
      </c>
      <c r="Q176" s="17">
        <v>13</v>
      </c>
      <c r="R176" s="14">
        <f t="shared" si="89"/>
        <v>616850</v>
      </c>
      <c r="S176" s="15">
        <v>86667</v>
      </c>
      <c r="T176" s="15">
        <v>0</v>
      </c>
      <c r="U176" s="7">
        <f t="shared" si="83"/>
        <v>0</v>
      </c>
      <c r="V176" s="15">
        <v>2.1667000000000001</v>
      </c>
      <c r="W176" s="7">
        <f t="shared" si="84"/>
        <v>24534.184261363636</v>
      </c>
      <c r="X176" s="15">
        <v>0</v>
      </c>
      <c r="Y176" s="7">
        <f t="shared" si="73"/>
        <v>0</v>
      </c>
      <c r="Z176" s="15">
        <v>0</v>
      </c>
      <c r="AA176" s="7">
        <f t="shared" si="74"/>
        <v>0</v>
      </c>
      <c r="AB176" s="15">
        <v>0</v>
      </c>
      <c r="AC176" s="14">
        <f t="shared" si="75"/>
        <v>0</v>
      </c>
      <c r="AD176" s="14">
        <f t="shared" si="90"/>
        <v>2.1667000000000001</v>
      </c>
      <c r="AE176" s="14">
        <f t="shared" si="91"/>
        <v>24534.184261363636</v>
      </c>
      <c r="AF176" s="15">
        <v>5.5</v>
      </c>
      <c r="AG176" s="7">
        <f t="shared" si="76"/>
        <v>64057.5</v>
      </c>
      <c r="AH176" s="15">
        <v>0</v>
      </c>
      <c r="AI176" s="7">
        <f t="shared" si="77"/>
        <v>0</v>
      </c>
      <c r="AJ176" s="15">
        <v>2.5</v>
      </c>
      <c r="AK176" s="14">
        <f t="shared" si="78"/>
        <v>33969.88636363636</v>
      </c>
      <c r="AL176" s="15">
        <v>0</v>
      </c>
      <c r="AM176" s="7">
        <f t="shared" si="79"/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15.25</v>
      </c>
      <c r="AS176" s="7">
        <f t="shared" si="85"/>
        <v>34536.051136363632</v>
      </c>
      <c r="AT176" s="14">
        <f t="shared" si="92"/>
        <v>23.25</v>
      </c>
      <c r="AU176" s="14">
        <f t="shared" si="92"/>
        <v>132563.4375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36735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106300</v>
      </c>
      <c r="BL176" s="15">
        <v>0</v>
      </c>
      <c r="BM176" s="15">
        <v>0</v>
      </c>
      <c r="BN176" s="15">
        <v>0</v>
      </c>
      <c r="BO176" s="15">
        <v>0</v>
      </c>
      <c r="BP176" s="15">
        <v>97480</v>
      </c>
      <c r="BQ176" s="15">
        <v>4300</v>
      </c>
      <c r="BR176" s="14">
        <f t="shared" si="93"/>
        <v>101780</v>
      </c>
      <c r="BS176" s="15">
        <v>32500</v>
      </c>
      <c r="BT176" s="15">
        <v>0</v>
      </c>
      <c r="BU176" s="15">
        <v>0</v>
      </c>
      <c r="BV176" s="14">
        <f t="shared" si="94"/>
        <v>32500</v>
      </c>
      <c r="BW176" s="15">
        <v>74844</v>
      </c>
      <c r="BX176" s="15">
        <v>8982</v>
      </c>
      <c r="BY176" s="15">
        <v>74844</v>
      </c>
      <c r="BZ176" s="15">
        <v>35219</v>
      </c>
      <c r="CA176" s="15">
        <v>0</v>
      </c>
      <c r="CB176" s="15">
        <v>193889</v>
      </c>
      <c r="CC176" s="15">
        <v>1226328</v>
      </c>
      <c r="CD176" s="16">
        <v>80769.378238636302</v>
      </c>
      <c r="CE176" s="15">
        <v>0</v>
      </c>
      <c r="CF176" s="14">
        <f t="shared" si="95"/>
        <v>1412588</v>
      </c>
      <c r="CG176" s="18"/>
      <c r="CH176" s="16"/>
      <c r="CI176" s="22"/>
      <c r="CJ176" s="17"/>
    </row>
    <row r="177" spans="1:88" s="13" customFormat="1" x14ac:dyDescent="0.35">
      <c r="A177" s="13">
        <v>1007668809</v>
      </c>
      <c r="B177" s="17" t="s">
        <v>95</v>
      </c>
      <c r="C177" s="17" t="s">
        <v>83</v>
      </c>
      <c r="D177" s="17" t="s">
        <v>286</v>
      </c>
      <c r="E177" s="17">
        <v>6563</v>
      </c>
      <c r="F177" s="17" t="s">
        <v>84</v>
      </c>
      <c r="G177" s="17" t="s">
        <v>85</v>
      </c>
      <c r="H177" s="17">
        <v>1007668809</v>
      </c>
      <c r="I177" s="17" t="s">
        <v>280</v>
      </c>
      <c r="J177" s="17" t="s">
        <v>94</v>
      </c>
      <c r="K177" s="17">
        <v>0</v>
      </c>
      <c r="L177" s="17">
        <v>0</v>
      </c>
      <c r="M177" s="17" t="s">
        <v>96</v>
      </c>
      <c r="N177" s="19">
        <v>45859</v>
      </c>
      <c r="O177" s="19">
        <v>1</v>
      </c>
      <c r="P177" s="20">
        <v>1423500</v>
      </c>
      <c r="Q177" s="17">
        <v>30</v>
      </c>
      <c r="R177" s="14">
        <f t="shared" si="89"/>
        <v>1423500</v>
      </c>
      <c r="S177" s="15">
        <v>200000</v>
      </c>
      <c r="T177" s="15">
        <v>0</v>
      </c>
      <c r="U177" s="7">
        <f t="shared" si="83"/>
        <v>0</v>
      </c>
      <c r="V177" s="15">
        <v>2</v>
      </c>
      <c r="W177" s="7">
        <f t="shared" si="84"/>
        <v>22646.590909090908</v>
      </c>
      <c r="X177" s="15">
        <v>0</v>
      </c>
      <c r="Y177" s="7">
        <f t="shared" si="73"/>
        <v>0</v>
      </c>
      <c r="Z177" s="15">
        <v>0</v>
      </c>
      <c r="AA177" s="7">
        <f t="shared" si="74"/>
        <v>0</v>
      </c>
      <c r="AB177" s="15">
        <v>0</v>
      </c>
      <c r="AC177" s="14">
        <f t="shared" si="75"/>
        <v>0</v>
      </c>
      <c r="AD177" s="14">
        <f t="shared" si="90"/>
        <v>2</v>
      </c>
      <c r="AE177" s="14">
        <f t="shared" si="91"/>
        <v>22646.590909090908</v>
      </c>
      <c r="AF177" s="15">
        <v>0</v>
      </c>
      <c r="AG177" s="7">
        <f t="shared" si="76"/>
        <v>0</v>
      </c>
      <c r="AH177" s="15">
        <v>0</v>
      </c>
      <c r="AI177" s="7">
        <f t="shared" si="77"/>
        <v>0</v>
      </c>
      <c r="AJ177" s="15">
        <v>0</v>
      </c>
      <c r="AK177" s="14">
        <f t="shared" si="78"/>
        <v>0</v>
      </c>
      <c r="AL177" s="15">
        <v>0</v>
      </c>
      <c r="AM177" s="7">
        <f t="shared" si="79"/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8.5</v>
      </c>
      <c r="AS177" s="7">
        <f t="shared" si="85"/>
        <v>19249.602272727268</v>
      </c>
      <c r="AT177" s="14">
        <f t="shared" si="92"/>
        <v>8.5</v>
      </c>
      <c r="AU177" s="14">
        <f t="shared" si="92"/>
        <v>19249.602272727268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36735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106300</v>
      </c>
      <c r="BL177" s="15">
        <v>0</v>
      </c>
      <c r="BM177" s="15">
        <v>0</v>
      </c>
      <c r="BN177" s="15">
        <v>0</v>
      </c>
      <c r="BO177" s="15">
        <v>0</v>
      </c>
      <c r="BP177" s="15">
        <v>180315</v>
      </c>
      <c r="BQ177" s="15">
        <v>7900</v>
      </c>
      <c r="BR177" s="14">
        <f t="shared" si="93"/>
        <v>188215</v>
      </c>
      <c r="BS177" s="15">
        <v>60100</v>
      </c>
      <c r="BT177" s="15">
        <v>0</v>
      </c>
      <c r="BU177" s="15">
        <v>0</v>
      </c>
      <c r="BV177" s="14">
        <f t="shared" si="94"/>
        <v>60100</v>
      </c>
      <c r="BW177" s="15">
        <v>141839</v>
      </c>
      <c r="BX177" s="15">
        <v>17021</v>
      </c>
      <c r="BY177" s="15">
        <v>141839</v>
      </c>
      <c r="BZ177" s="15">
        <v>65193</v>
      </c>
      <c r="CA177" s="15">
        <v>0</v>
      </c>
      <c r="CB177" s="15">
        <v>365892</v>
      </c>
      <c r="CC177" s="15">
        <v>2316339</v>
      </c>
      <c r="CD177" s="15">
        <v>145361</v>
      </c>
      <c r="CE177" s="15">
        <v>0</v>
      </c>
      <c r="CF177" s="14">
        <f t="shared" si="95"/>
        <v>2567999.1931818184</v>
      </c>
      <c r="CG177" s="18"/>
      <c r="CH177" s="16"/>
      <c r="CI177" s="17"/>
      <c r="CJ177" s="17"/>
    </row>
    <row r="178" spans="1:88" s="13" customFormat="1" x14ac:dyDescent="0.35">
      <c r="A178" s="13">
        <v>1003510660</v>
      </c>
      <c r="B178" s="17" t="s">
        <v>95</v>
      </c>
      <c r="C178" s="17" t="s">
        <v>83</v>
      </c>
      <c r="D178" s="17" t="s">
        <v>286</v>
      </c>
      <c r="E178" s="17">
        <v>6563</v>
      </c>
      <c r="F178" s="17" t="s">
        <v>84</v>
      </c>
      <c r="G178" s="17" t="s">
        <v>85</v>
      </c>
      <c r="H178" s="17">
        <v>1003510660</v>
      </c>
      <c r="I178" s="17" t="s">
        <v>281</v>
      </c>
      <c r="J178" s="17" t="s">
        <v>94</v>
      </c>
      <c r="K178" s="17">
        <v>0</v>
      </c>
      <c r="L178" s="17">
        <v>0</v>
      </c>
      <c r="M178" s="17" t="s">
        <v>96</v>
      </c>
      <c r="N178" s="19">
        <v>45859</v>
      </c>
      <c r="O178" s="19">
        <v>45881</v>
      </c>
      <c r="P178" s="20">
        <v>1423500</v>
      </c>
      <c r="Q178" s="17">
        <v>12</v>
      </c>
      <c r="R178" s="14">
        <f t="shared" si="89"/>
        <v>569400</v>
      </c>
      <c r="S178" s="15">
        <v>80000</v>
      </c>
      <c r="T178" s="15">
        <v>0</v>
      </c>
      <c r="U178" s="7">
        <f t="shared" si="83"/>
        <v>0</v>
      </c>
      <c r="V178" s="15">
        <v>0</v>
      </c>
      <c r="W178" s="7">
        <f t="shared" si="84"/>
        <v>0</v>
      </c>
      <c r="X178" s="15">
        <v>0</v>
      </c>
      <c r="Y178" s="7">
        <f t="shared" si="73"/>
        <v>0</v>
      </c>
      <c r="Z178" s="15">
        <v>0</v>
      </c>
      <c r="AA178" s="7">
        <f t="shared" si="74"/>
        <v>0</v>
      </c>
      <c r="AB178" s="15">
        <v>0</v>
      </c>
      <c r="AC178" s="14">
        <f t="shared" si="75"/>
        <v>0</v>
      </c>
      <c r="AD178" s="14">
        <f t="shared" si="90"/>
        <v>0</v>
      </c>
      <c r="AE178" s="14">
        <f t="shared" si="91"/>
        <v>0</v>
      </c>
      <c r="AF178" s="15">
        <v>0</v>
      </c>
      <c r="AG178" s="7">
        <f t="shared" si="76"/>
        <v>0</v>
      </c>
      <c r="AH178" s="15">
        <v>0</v>
      </c>
      <c r="AI178" s="7">
        <f t="shared" si="77"/>
        <v>0</v>
      </c>
      <c r="AJ178" s="15">
        <v>0</v>
      </c>
      <c r="AK178" s="14">
        <f t="shared" si="78"/>
        <v>0</v>
      </c>
      <c r="AL178" s="15">
        <v>0</v>
      </c>
      <c r="AM178" s="7">
        <f t="shared" si="79"/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7">
        <f t="shared" si="85"/>
        <v>0</v>
      </c>
      <c r="AT178" s="14">
        <f t="shared" si="92"/>
        <v>0</v>
      </c>
      <c r="AU178" s="14">
        <f t="shared" si="92"/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106300</v>
      </c>
      <c r="BL178" s="15">
        <v>0</v>
      </c>
      <c r="BM178" s="15">
        <v>0</v>
      </c>
      <c r="BN178" s="15">
        <v>0</v>
      </c>
      <c r="BO178" s="15">
        <v>0</v>
      </c>
      <c r="BP178" s="15">
        <v>68448</v>
      </c>
      <c r="BQ178" s="15">
        <v>13900</v>
      </c>
      <c r="BR178" s="14">
        <f t="shared" si="93"/>
        <v>82348</v>
      </c>
      <c r="BS178" s="15">
        <v>22800</v>
      </c>
      <c r="BT178" s="15">
        <v>0</v>
      </c>
      <c r="BU178" s="15">
        <v>0</v>
      </c>
      <c r="BV178" s="14">
        <f t="shared" si="94"/>
        <v>22800</v>
      </c>
      <c r="BW178" s="15">
        <v>54115</v>
      </c>
      <c r="BX178" s="15">
        <v>6494</v>
      </c>
      <c r="BY178" s="15">
        <v>54115</v>
      </c>
      <c r="BZ178" s="15">
        <v>24712</v>
      </c>
      <c r="CA178" s="15">
        <v>0</v>
      </c>
      <c r="CB178" s="15">
        <v>139436</v>
      </c>
      <c r="CC178" s="15">
        <v>893984</v>
      </c>
      <c r="CD178" s="15">
        <v>60019</v>
      </c>
      <c r="CE178" s="15">
        <v>0</v>
      </c>
      <c r="CF178" s="14">
        <f t="shared" si="95"/>
        <v>1060303</v>
      </c>
      <c r="CG178" s="18"/>
      <c r="CH178" s="16"/>
      <c r="CI178" s="17"/>
      <c r="CJ178" s="17"/>
    </row>
    <row r="179" spans="1:88" s="13" customFormat="1" x14ac:dyDescent="0.35">
      <c r="A179" s="13">
        <v>1018405173</v>
      </c>
      <c r="B179" s="17" t="s">
        <v>95</v>
      </c>
      <c r="C179" s="17" t="s">
        <v>83</v>
      </c>
      <c r="D179" s="17" t="s">
        <v>286</v>
      </c>
      <c r="E179" s="17">
        <v>6563</v>
      </c>
      <c r="F179" s="17" t="s">
        <v>84</v>
      </c>
      <c r="G179" s="17" t="s">
        <v>85</v>
      </c>
      <c r="H179" s="17">
        <v>1018405173</v>
      </c>
      <c r="I179" s="17" t="s">
        <v>282</v>
      </c>
      <c r="J179" s="17" t="s">
        <v>94</v>
      </c>
      <c r="K179" s="17">
        <v>0</v>
      </c>
      <c r="L179" s="17">
        <v>0</v>
      </c>
      <c r="M179" s="17" t="s">
        <v>96</v>
      </c>
      <c r="N179" s="19">
        <v>45859</v>
      </c>
      <c r="O179" s="19">
        <v>1</v>
      </c>
      <c r="P179" s="20">
        <v>1423500</v>
      </c>
      <c r="Q179" s="17">
        <v>30</v>
      </c>
      <c r="R179" s="14">
        <f t="shared" si="89"/>
        <v>1423500</v>
      </c>
      <c r="S179" s="15">
        <v>200000</v>
      </c>
      <c r="T179" s="15">
        <v>0</v>
      </c>
      <c r="U179" s="7">
        <f t="shared" si="83"/>
        <v>0</v>
      </c>
      <c r="V179" s="15">
        <v>0</v>
      </c>
      <c r="W179" s="7">
        <f t="shared" si="84"/>
        <v>0</v>
      </c>
      <c r="X179" s="15">
        <v>0</v>
      </c>
      <c r="Y179" s="7">
        <f t="shared" si="73"/>
        <v>0</v>
      </c>
      <c r="Z179" s="15">
        <v>0</v>
      </c>
      <c r="AA179" s="7">
        <f t="shared" si="74"/>
        <v>0</v>
      </c>
      <c r="AB179" s="15">
        <v>0</v>
      </c>
      <c r="AC179" s="14">
        <f t="shared" si="75"/>
        <v>0</v>
      </c>
      <c r="AD179" s="14">
        <f t="shared" si="90"/>
        <v>0</v>
      </c>
      <c r="AE179" s="14">
        <f t="shared" si="91"/>
        <v>0</v>
      </c>
      <c r="AF179" s="15">
        <v>0</v>
      </c>
      <c r="AG179" s="7">
        <f t="shared" si="76"/>
        <v>0</v>
      </c>
      <c r="AH179" s="15">
        <v>0</v>
      </c>
      <c r="AI179" s="7">
        <f t="shared" si="77"/>
        <v>0</v>
      </c>
      <c r="AJ179" s="15">
        <v>0</v>
      </c>
      <c r="AK179" s="14">
        <f t="shared" si="78"/>
        <v>0</v>
      </c>
      <c r="AL179" s="15">
        <v>0</v>
      </c>
      <c r="AM179" s="7">
        <f t="shared" si="79"/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3.5</v>
      </c>
      <c r="AS179" s="7">
        <f t="shared" si="85"/>
        <v>7926.3068181818171</v>
      </c>
      <c r="AT179" s="14">
        <f t="shared" si="92"/>
        <v>3.5</v>
      </c>
      <c r="AU179" s="14">
        <f t="shared" si="92"/>
        <v>7926.3068181818171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36735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106300</v>
      </c>
      <c r="BL179" s="15">
        <v>0</v>
      </c>
      <c r="BM179" s="15">
        <v>0</v>
      </c>
      <c r="BN179" s="15">
        <v>0</v>
      </c>
      <c r="BO179" s="15">
        <v>0</v>
      </c>
      <c r="BP179" s="15">
        <v>176274</v>
      </c>
      <c r="BQ179" s="15">
        <v>35800</v>
      </c>
      <c r="BR179" s="14">
        <f t="shared" si="93"/>
        <v>212074</v>
      </c>
      <c r="BS179" s="15">
        <v>58800</v>
      </c>
      <c r="BT179" s="15">
        <v>0</v>
      </c>
      <c r="BU179" s="15">
        <v>0</v>
      </c>
      <c r="BV179" s="14">
        <f t="shared" si="94"/>
        <v>58800</v>
      </c>
      <c r="BW179" s="15">
        <v>139008</v>
      </c>
      <c r="BX179" s="15">
        <v>16682</v>
      </c>
      <c r="BY179" s="15">
        <v>139008</v>
      </c>
      <c r="BZ179" s="15">
        <v>63718</v>
      </c>
      <c r="CA179" s="15">
        <v>0</v>
      </c>
      <c r="CB179" s="15">
        <v>358416</v>
      </c>
      <c r="CC179" s="15">
        <v>2297451</v>
      </c>
      <c r="CD179" s="15">
        <v>144228</v>
      </c>
      <c r="CE179" s="15">
        <v>0</v>
      </c>
      <c r="CF179" s="14">
        <f t="shared" si="95"/>
        <v>2547979.3068181816</v>
      </c>
      <c r="CG179" s="18"/>
      <c r="CH179" s="16"/>
      <c r="CI179" s="17"/>
      <c r="CJ179" s="17"/>
    </row>
    <row r="180" spans="1:88" s="13" customFormat="1" x14ac:dyDescent="0.35">
      <c r="A180" s="13">
        <v>1014274493</v>
      </c>
      <c r="B180" s="17" t="s">
        <v>95</v>
      </c>
      <c r="C180" s="17" t="s">
        <v>83</v>
      </c>
      <c r="D180" s="17" t="s">
        <v>286</v>
      </c>
      <c r="E180" s="17">
        <v>6563</v>
      </c>
      <c r="F180" s="17" t="s">
        <v>84</v>
      </c>
      <c r="G180" s="17" t="s">
        <v>85</v>
      </c>
      <c r="H180" s="17">
        <v>1014274493</v>
      </c>
      <c r="I180" s="17" t="s">
        <v>283</v>
      </c>
      <c r="J180" s="17" t="s">
        <v>94</v>
      </c>
      <c r="K180" s="17">
        <v>0</v>
      </c>
      <c r="L180" s="17">
        <v>0</v>
      </c>
      <c r="M180" s="17" t="s">
        <v>96</v>
      </c>
      <c r="N180" s="19">
        <v>45859</v>
      </c>
      <c r="O180" s="19">
        <v>45859</v>
      </c>
      <c r="P180" s="20">
        <v>1423500</v>
      </c>
      <c r="Q180" s="17">
        <v>-9</v>
      </c>
      <c r="R180" s="14">
        <f t="shared" si="89"/>
        <v>-427050</v>
      </c>
      <c r="S180" s="15">
        <v>-60000</v>
      </c>
      <c r="T180" s="15">
        <v>0</v>
      </c>
      <c r="U180" s="7">
        <f t="shared" si="83"/>
        <v>0</v>
      </c>
      <c r="V180" s="15">
        <v>0</v>
      </c>
      <c r="W180" s="7">
        <f t="shared" si="84"/>
        <v>0</v>
      </c>
      <c r="X180" s="15">
        <v>0</v>
      </c>
      <c r="Y180" s="7">
        <f t="shared" si="73"/>
        <v>0</v>
      </c>
      <c r="Z180" s="15">
        <v>0</v>
      </c>
      <c r="AA180" s="7">
        <f t="shared" si="74"/>
        <v>0</v>
      </c>
      <c r="AB180" s="15">
        <v>0</v>
      </c>
      <c r="AC180" s="14">
        <f t="shared" si="75"/>
        <v>0</v>
      </c>
      <c r="AD180" s="14">
        <f t="shared" si="90"/>
        <v>0</v>
      </c>
      <c r="AE180" s="14">
        <f t="shared" si="91"/>
        <v>0</v>
      </c>
      <c r="AF180" s="15">
        <v>0</v>
      </c>
      <c r="AG180" s="7">
        <f t="shared" si="76"/>
        <v>0</v>
      </c>
      <c r="AH180" s="15">
        <v>0</v>
      </c>
      <c r="AI180" s="7">
        <f t="shared" si="77"/>
        <v>0</v>
      </c>
      <c r="AJ180" s="15">
        <v>0</v>
      </c>
      <c r="AK180" s="14">
        <f t="shared" si="78"/>
        <v>0</v>
      </c>
      <c r="AL180" s="15">
        <v>0</v>
      </c>
      <c r="AM180" s="7">
        <f t="shared" si="79"/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7">
        <f t="shared" si="85"/>
        <v>0</v>
      </c>
      <c r="AT180" s="14">
        <f t="shared" si="92"/>
        <v>0</v>
      </c>
      <c r="AU180" s="14">
        <f t="shared" si="92"/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441966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-51316</v>
      </c>
      <c r="BQ180" s="15">
        <v>-10400</v>
      </c>
      <c r="BR180" s="14">
        <f t="shared" si="93"/>
        <v>-61716</v>
      </c>
      <c r="BS180" s="15">
        <v>-17100</v>
      </c>
      <c r="BT180" s="15">
        <v>0</v>
      </c>
      <c r="BU180" s="15">
        <v>0</v>
      </c>
      <c r="BV180" s="14">
        <f t="shared" si="94"/>
        <v>-17100</v>
      </c>
      <c r="BW180" s="15">
        <v>-40585</v>
      </c>
      <c r="BX180" s="15">
        <v>-4871</v>
      </c>
      <c r="BY180" s="15">
        <v>-40585</v>
      </c>
      <c r="BZ180" s="15">
        <v>-18534</v>
      </c>
      <c r="CA180" s="15">
        <v>0</v>
      </c>
      <c r="CB180" s="15">
        <v>-104575</v>
      </c>
      <c r="CC180" s="15">
        <v>-228475</v>
      </c>
      <c r="CD180" s="15">
        <v>-13708</v>
      </c>
      <c r="CE180" s="15">
        <v>0</v>
      </c>
      <c r="CF180" s="14">
        <f t="shared" si="95"/>
        <v>-242183</v>
      </c>
      <c r="CG180" s="18"/>
      <c r="CH180" s="16"/>
      <c r="CI180" s="17"/>
      <c r="CJ180" s="17"/>
    </row>
    <row r="181" spans="1:88" s="13" customFormat="1" x14ac:dyDescent="0.35">
      <c r="A181" s="13">
        <v>1019048063</v>
      </c>
      <c r="B181" s="17" t="s">
        <v>95</v>
      </c>
      <c r="C181" s="17" t="s">
        <v>83</v>
      </c>
      <c r="D181" s="17" t="s">
        <v>286</v>
      </c>
      <c r="E181" s="17">
        <v>6563</v>
      </c>
      <c r="F181" s="17" t="s">
        <v>84</v>
      </c>
      <c r="G181" s="17" t="s">
        <v>85</v>
      </c>
      <c r="H181" s="17">
        <v>1019048063</v>
      </c>
      <c r="I181" s="17" t="s">
        <v>284</v>
      </c>
      <c r="J181" s="17" t="s">
        <v>94</v>
      </c>
      <c r="K181" s="17">
        <v>0</v>
      </c>
      <c r="L181" s="17">
        <v>0</v>
      </c>
      <c r="M181" s="17" t="s">
        <v>96</v>
      </c>
      <c r="N181" s="19">
        <v>45859</v>
      </c>
      <c r="O181" s="19">
        <v>45860</v>
      </c>
      <c r="P181" s="20">
        <v>1423500</v>
      </c>
      <c r="Q181" s="17">
        <v>-8</v>
      </c>
      <c r="R181" s="14">
        <f t="shared" si="89"/>
        <v>-379600</v>
      </c>
      <c r="S181" s="15">
        <v>-53334</v>
      </c>
      <c r="T181" s="15">
        <v>0</v>
      </c>
      <c r="U181" s="7">
        <f t="shared" si="83"/>
        <v>0</v>
      </c>
      <c r="V181" s="15">
        <v>0</v>
      </c>
      <c r="W181" s="7">
        <f t="shared" si="84"/>
        <v>0</v>
      </c>
      <c r="X181" s="15">
        <v>0</v>
      </c>
      <c r="Y181" s="7">
        <f t="shared" si="73"/>
        <v>0</v>
      </c>
      <c r="Z181" s="15">
        <v>0</v>
      </c>
      <c r="AA181" s="7">
        <f t="shared" si="74"/>
        <v>0</v>
      </c>
      <c r="AB181" s="15">
        <v>0</v>
      </c>
      <c r="AC181" s="14">
        <f t="shared" si="75"/>
        <v>0</v>
      </c>
      <c r="AD181" s="14">
        <f t="shared" si="90"/>
        <v>0</v>
      </c>
      <c r="AE181" s="14">
        <f t="shared" si="91"/>
        <v>0</v>
      </c>
      <c r="AF181" s="15">
        <v>0</v>
      </c>
      <c r="AG181" s="7">
        <f t="shared" si="76"/>
        <v>0</v>
      </c>
      <c r="AH181" s="15">
        <v>0</v>
      </c>
      <c r="AI181" s="7">
        <f t="shared" si="77"/>
        <v>0</v>
      </c>
      <c r="AJ181" s="15">
        <v>0</v>
      </c>
      <c r="AK181" s="14">
        <f t="shared" si="78"/>
        <v>0</v>
      </c>
      <c r="AL181" s="15">
        <v>0</v>
      </c>
      <c r="AM181" s="7">
        <f t="shared" si="79"/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7">
        <f t="shared" si="85"/>
        <v>0</v>
      </c>
      <c r="AT181" s="14">
        <f t="shared" si="92"/>
        <v>0</v>
      </c>
      <c r="AU181" s="14">
        <f t="shared" si="92"/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380726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-45612</v>
      </c>
      <c r="BQ181" s="15">
        <v>-2000</v>
      </c>
      <c r="BR181" s="14">
        <f t="shared" si="93"/>
        <v>-47612</v>
      </c>
      <c r="BS181" s="15">
        <v>-15200</v>
      </c>
      <c r="BT181" s="15">
        <v>0</v>
      </c>
      <c r="BU181" s="15">
        <v>0</v>
      </c>
      <c r="BV181" s="14">
        <f t="shared" si="94"/>
        <v>-15200</v>
      </c>
      <c r="BW181" s="15">
        <v>-36076</v>
      </c>
      <c r="BX181" s="15">
        <v>-4330</v>
      </c>
      <c r="BY181" s="15">
        <v>-36076</v>
      </c>
      <c r="BZ181" s="15">
        <v>-16476</v>
      </c>
      <c r="CA181" s="15">
        <v>0</v>
      </c>
      <c r="CB181" s="15">
        <v>-92958</v>
      </c>
      <c r="CC181" s="15">
        <v>-207978</v>
      </c>
      <c r="CD181" s="15">
        <v>-12480</v>
      </c>
      <c r="CE181" s="15">
        <v>0</v>
      </c>
      <c r="CF181" s="14">
        <f t="shared" si="95"/>
        <v>-220458</v>
      </c>
      <c r="CG181" s="18"/>
      <c r="CH181" s="16"/>
      <c r="CI181" s="17"/>
      <c r="CJ181" s="17"/>
    </row>
    <row r="182" spans="1:88" s="13" customFormat="1" x14ac:dyDescent="0.35">
      <c r="A182" s="13">
        <v>1014212585</v>
      </c>
      <c r="B182" s="17" t="s">
        <v>95</v>
      </c>
      <c r="C182" s="17" t="s">
        <v>83</v>
      </c>
      <c r="D182" s="17" t="s">
        <v>286</v>
      </c>
      <c r="E182" s="17">
        <v>6571</v>
      </c>
      <c r="F182" s="17" t="s">
        <v>88</v>
      </c>
      <c r="G182" s="17" t="s">
        <v>89</v>
      </c>
      <c r="H182" s="17">
        <v>1014212585</v>
      </c>
      <c r="I182" s="17" t="s">
        <v>290</v>
      </c>
      <c r="J182" s="17" t="s">
        <v>94</v>
      </c>
      <c r="K182" s="17">
        <v>0</v>
      </c>
      <c r="L182" s="17">
        <v>0</v>
      </c>
      <c r="M182" s="17" t="s">
        <v>96</v>
      </c>
      <c r="N182" s="19">
        <v>45627</v>
      </c>
      <c r="O182" s="19">
        <v>45792</v>
      </c>
      <c r="P182" s="20">
        <v>782925</v>
      </c>
      <c r="Q182" s="17">
        <v>0</v>
      </c>
      <c r="R182" s="14">
        <f t="shared" si="89"/>
        <v>0</v>
      </c>
      <c r="S182" s="15">
        <v>0</v>
      </c>
      <c r="T182" s="15">
        <v>0</v>
      </c>
      <c r="U182" s="7">
        <f>+P182/110*T182*1.25</f>
        <v>0</v>
      </c>
      <c r="V182" s="15">
        <v>1.05</v>
      </c>
      <c r="W182" s="7">
        <f>+P182/115*V182*1.75</f>
        <v>12509.77989130435</v>
      </c>
      <c r="X182" s="15">
        <v>0</v>
      </c>
      <c r="Y182" s="7">
        <f t="shared" si="73"/>
        <v>0</v>
      </c>
      <c r="Z182" s="15">
        <v>0</v>
      </c>
      <c r="AA182" s="7">
        <f t="shared" si="74"/>
        <v>0</v>
      </c>
      <c r="AB182" s="15">
        <v>0</v>
      </c>
      <c r="AC182" s="14">
        <f t="shared" si="75"/>
        <v>0</v>
      </c>
      <c r="AD182" s="14">
        <f t="shared" si="90"/>
        <v>1.05</v>
      </c>
      <c r="AE182" s="14">
        <f t="shared" si="91"/>
        <v>12509.77989130435</v>
      </c>
      <c r="AF182" s="15">
        <v>0</v>
      </c>
      <c r="AG182" s="7">
        <f t="shared" si="76"/>
        <v>0</v>
      </c>
      <c r="AH182" s="15">
        <v>0</v>
      </c>
      <c r="AI182" s="7">
        <f t="shared" si="77"/>
        <v>0</v>
      </c>
      <c r="AJ182" s="15">
        <v>1</v>
      </c>
      <c r="AK182" s="14">
        <f>+P182/115*AJ182*2.1</f>
        <v>14296.891304347828</v>
      </c>
      <c r="AL182" s="15">
        <v>0</v>
      </c>
      <c r="AM182" s="7">
        <f t="shared" si="79"/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74.5</v>
      </c>
      <c r="AS182" s="7">
        <f>+P182/115*AR182*0.35</f>
        <v>177519.73369565216</v>
      </c>
      <c r="AT182" s="14">
        <f t="shared" si="92"/>
        <v>75.5</v>
      </c>
      <c r="AU182" s="14">
        <f t="shared" si="92"/>
        <v>191816.625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4">
        <f t="shared" si="93"/>
        <v>0</v>
      </c>
      <c r="BS182" s="15">
        <v>8200</v>
      </c>
      <c r="BT182" s="15">
        <v>0</v>
      </c>
      <c r="BU182" s="15">
        <v>0</v>
      </c>
      <c r="BV182" s="14">
        <f t="shared" si="94"/>
        <v>8200</v>
      </c>
      <c r="BW182" s="15">
        <v>17026</v>
      </c>
      <c r="BX182" s="15">
        <v>2043</v>
      </c>
      <c r="BY182" s="15">
        <v>17026</v>
      </c>
      <c r="BZ182" s="15">
        <v>8868</v>
      </c>
      <c r="CA182" s="15">
        <v>0</v>
      </c>
      <c r="CB182" s="15">
        <v>44963</v>
      </c>
      <c r="CC182" s="15">
        <v>257490</v>
      </c>
      <c r="CD182" s="15">
        <v>13647</v>
      </c>
      <c r="CE182" s="15">
        <v>0</v>
      </c>
      <c r="CF182" s="14">
        <f t="shared" si="95"/>
        <v>271136.40489130432</v>
      </c>
      <c r="CG182" s="18"/>
      <c r="CH182" s="16"/>
      <c r="CI182" s="17"/>
      <c r="CJ182" s="17"/>
    </row>
    <row r="183" spans="1:88" s="13" customFormat="1" x14ac:dyDescent="0.35">
      <c r="A183" s="13">
        <v>1058351439</v>
      </c>
      <c r="B183" s="17" t="s">
        <v>95</v>
      </c>
      <c r="C183" s="17" t="s">
        <v>83</v>
      </c>
      <c r="D183" s="17" t="s">
        <v>286</v>
      </c>
      <c r="E183" s="17">
        <v>6563</v>
      </c>
      <c r="F183" s="17" t="s">
        <v>84</v>
      </c>
      <c r="G183" s="17" t="s">
        <v>85</v>
      </c>
      <c r="H183" s="17">
        <v>1058351439</v>
      </c>
      <c r="I183" s="17" t="s">
        <v>291</v>
      </c>
      <c r="J183" s="17" t="s">
        <v>94</v>
      </c>
      <c r="K183" s="17">
        <v>0</v>
      </c>
      <c r="L183" s="17">
        <v>0</v>
      </c>
      <c r="M183" s="17" t="s">
        <v>96</v>
      </c>
      <c r="N183" s="19">
        <v>45856</v>
      </c>
      <c r="O183" s="19">
        <v>45856</v>
      </c>
      <c r="P183" s="20">
        <v>782925</v>
      </c>
      <c r="Q183" s="17">
        <v>1</v>
      </c>
      <c r="R183" s="14">
        <f t="shared" si="89"/>
        <v>26097.5</v>
      </c>
      <c r="S183" s="15">
        <v>6667</v>
      </c>
      <c r="T183" s="15">
        <v>0</v>
      </c>
      <c r="U183" s="7">
        <f t="shared" si="83"/>
        <v>0</v>
      </c>
      <c r="V183" s="15">
        <v>0</v>
      </c>
      <c r="W183" s="7">
        <f t="shared" si="84"/>
        <v>0</v>
      </c>
      <c r="X183" s="15">
        <v>0</v>
      </c>
      <c r="Y183" s="7">
        <f t="shared" si="73"/>
        <v>0</v>
      </c>
      <c r="Z183" s="15">
        <v>0</v>
      </c>
      <c r="AA183" s="7">
        <f t="shared" si="74"/>
        <v>0</v>
      </c>
      <c r="AB183" s="15">
        <v>0</v>
      </c>
      <c r="AC183" s="14">
        <f t="shared" si="75"/>
        <v>0</v>
      </c>
      <c r="AD183" s="14">
        <f t="shared" si="90"/>
        <v>0</v>
      </c>
      <c r="AE183" s="14">
        <f t="shared" si="91"/>
        <v>0</v>
      </c>
      <c r="AF183" s="15">
        <v>0</v>
      </c>
      <c r="AG183" s="7">
        <f t="shared" si="76"/>
        <v>0</v>
      </c>
      <c r="AH183" s="15">
        <v>0</v>
      </c>
      <c r="AI183" s="7">
        <f t="shared" si="77"/>
        <v>0</v>
      </c>
      <c r="AJ183" s="15">
        <v>0</v>
      </c>
      <c r="AK183" s="14">
        <f t="shared" si="78"/>
        <v>0</v>
      </c>
      <c r="AL183" s="15">
        <v>0</v>
      </c>
      <c r="AM183" s="7">
        <f t="shared" si="79"/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7">
        <f t="shared" si="85"/>
        <v>0</v>
      </c>
      <c r="AT183" s="14">
        <f t="shared" si="92"/>
        <v>0</v>
      </c>
      <c r="AU183" s="14">
        <f t="shared" si="92"/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5704</v>
      </c>
      <c r="BQ183" s="15">
        <v>300</v>
      </c>
      <c r="BR183" s="14">
        <f t="shared" si="93"/>
        <v>6004</v>
      </c>
      <c r="BS183" s="15">
        <v>1100</v>
      </c>
      <c r="BT183" s="15">
        <v>0</v>
      </c>
      <c r="BU183" s="15">
        <v>0</v>
      </c>
      <c r="BV183" s="14">
        <f t="shared" si="94"/>
        <v>1100</v>
      </c>
      <c r="BW183" s="15">
        <v>2730</v>
      </c>
      <c r="BX183" s="15">
        <v>328</v>
      </c>
      <c r="BY183" s="15">
        <v>2730</v>
      </c>
      <c r="BZ183" s="15">
        <v>1132</v>
      </c>
      <c r="CA183" s="15">
        <v>0</v>
      </c>
      <c r="CB183" s="15">
        <v>6920</v>
      </c>
      <c r="CC183" s="15">
        <v>46789</v>
      </c>
      <c r="CD183" s="15">
        <v>2808</v>
      </c>
      <c r="CE183" s="15">
        <v>0</v>
      </c>
      <c r="CF183" s="14">
        <f t="shared" si="95"/>
        <v>49596.5</v>
      </c>
      <c r="CG183" s="18"/>
      <c r="CH183" s="16"/>
      <c r="CI183" s="17"/>
      <c r="CJ183" s="17"/>
    </row>
    <row r="184" spans="1:88" s="13" customFormat="1" x14ac:dyDescent="0.35">
      <c r="A184" s="13">
        <v>1073162698</v>
      </c>
      <c r="B184" s="17" t="s">
        <v>95</v>
      </c>
      <c r="C184" s="17" t="s">
        <v>83</v>
      </c>
      <c r="D184" s="17" t="s">
        <v>286</v>
      </c>
      <c r="E184" s="17">
        <v>6563</v>
      </c>
      <c r="F184" s="17" t="s">
        <v>84</v>
      </c>
      <c r="G184" s="17" t="s">
        <v>85</v>
      </c>
      <c r="H184" s="17">
        <v>1073162698</v>
      </c>
      <c r="I184" s="17" t="s">
        <v>292</v>
      </c>
      <c r="J184" s="17" t="s">
        <v>94</v>
      </c>
      <c r="K184" s="17">
        <v>0</v>
      </c>
      <c r="L184" s="17">
        <v>0</v>
      </c>
      <c r="M184" s="17" t="s">
        <v>96</v>
      </c>
      <c r="N184" s="19">
        <v>45861</v>
      </c>
      <c r="O184" s="19">
        <v>1</v>
      </c>
      <c r="P184" s="20">
        <v>1423500</v>
      </c>
      <c r="Q184" s="17">
        <v>38</v>
      </c>
      <c r="R184" s="14">
        <f t="shared" si="89"/>
        <v>1803100</v>
      </c>
      <c r="S184" s="15">
        <v>253333</v>
      </c>
      <c r="T184" s="15">
        <v>1</v>
      </c>
      <c r="U184" s="7">
        <f t="shared" si="83"/>
        <v>8088.0681818181811</v>
      </c>
      <c r="V184" s="15">
        <v>1</v>
      </c>
      <c r="W184" s="7">
        <f t="shared" si="84"/>
        <v>11323.295454545454</v>
      </c>
      <c r="X184" s="15">
        <v>0</v>
      </c>
      <c r="Y184" s="7">
        <f t="shared" si="73"/>
        <v>0</v>
      </c>
      <c r="Z184" s="15">
        <v>0</v>
      </c>
      <c r="AA184" s="7">
        <f t="shared" si="74"/>
        <v>0</v>
      </c>
      <c r="AB184" s="15">
        <v>0</v>
      </c>
      <c r="AC184" s="14">
        <f t="shared" si="75"/>
        <v>0</v>
      </c>
      <c r="AD184" s="14">
        <f t="shared" si="90"/>
        <v>2</v>
      </c>
      <c r="AE184" s="14">
        <f t="shared" si="91"/>
        <v>19411.363636363636</v>
      </c>
      <c r="AF184" s="15">
        <v>7</v>
      </c>
      <c r="AG184" s="7">
        <f t="shared" si="76"/>
        <v>81527.727272727265</v>
      </c>
      <c r="AH184" s="15">
        <v>0</v>
      </c>
      <c r="AI184" s="7">
        <f t="shared" si="77"/>
        <v>0</v>
      </c>
      <c r="AJ184" s="15">
        <v>1</v>
      </c>
      <c r="AK184" s="14">
        <f t="shared" si="78"/>
        <v>13587.954545454546</v>
      </c>
      <c r="AL184" s="15">
        <v>0</v>
      </c>
      <c r="AM184" s="7">
        <f t="shared" si="79"/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2.5</v>
      </c>
      <c r="AS184" s="7">
        <f t="shared" si="85"/>
        <v>5661.6477272727261</v>
      </c>
      <c r="AT184" s="14">
        <f t="shared" si="92"/>
        <v>10.5</v>
      </c>
      <c r="AU184" s="14">
        <f t="shared" si="92"/>
        <v>100777.32954545453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29388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106300</v>
      </c>
      <c r="BL184" s="15">
        <v>0</v>
      </c>
      <c r="BM184" s="15">
        <v>0</v>
      </c>
      <c r="BN184" s="15">
        <v>0</v>
      </c>
      <c r="BO184" s="15">
        <v>0</v>
      </c>
      <c r="BP184" s="15">
        <v>234464</v>
      </c>
      <c r="BQ184" s="15">
        <v>10300</v>
      </c>
      <c r="BR184" s="14">
        <f t="shared" si="93"/>
        <v>244764</v>
      </c>
      <c r="BS184" s="15">
        <v>78200</v>
      </c>
      <c r="BT184" s="15">
        <v>0</v>
      </c>
      <c r="BU184" s="15">
        <v>0</v>
      </c>
      <c r="BV184" s="14">
        <f t="shared" si="94"/>
        <v>78200</v>
      </c>
      <c r="BW184" s="15">
        <v>183853</v>
      </c>
      <c r="BX184" s="15">
        <v>22063</v>
      </c>
      <c r="BY184" s="15">
        <v>183853</v>
      </c>
      <c r="BZ184" s="15">
        <v>84115</v>
      </c>
      <c r="CA184" s="15">
        <v>0</v>
      </c>
      <c r="CB184" s="15">
        <v>473884</v>
      </c>
      <c r="CC184" s="15">
        <v>3003181</v>
      </c>
      <c r="CD184" s="16">
        <v>186895.30681818165</v>
      </c>
      <c r="CE184" s="15">
        <v>0</v>
      </c>
      <c r="CF184" s="14">
        <f t="shared" si="95"/>
        <v>3296053</v>
      </c>
      <c r="CG184" s="18"/>
      <c r="CH184" s="16"/>
      <c r="CI184" s="22"/>
      <c r="CJ184" s="17"/>
    </row>
    <row r="185" spans="1:88" s="13" customFormat="1" x14ac:dyDescent="0.35">
      <c r="A185" s="13">
        <v>1073249878</v>
      </c>
      <c r="B185" s="17" t="s">
        <v>95</v>
      </c>
      <c r="C185" s="17" t="s">
        <v>83</v>
      </c>
      <c r="D185" s="17" t="s">
        <v>286</v>
      </c>
      <c r="E185" s="17">
        <v>6563</v>
      </c>
      <c r="F185" s="17" t="s">
        <v>84</v>
      </c>
      <c r="G185" s="17" t="s">
        <v>85</v>
      </c>
      <c r="H185" s="17">
        <v>1073249878</v>
      </c>
      <c r="I185" s="17" t="s">
        <v>293</v>
      </c>
      <c r="J185" s="17" t="s">
        <v>94</v>
      </c>
      <c r="K185" s="17">
        <v>0</v>
      </c>
      <c r="L185" s="17">
        <v>0</v>
      </c>
      <c r="M185" s="17" t="s">
        <v>96</v>
      </c>
      <c r="N185" s="19">
        <v>45861</v>
      </c>
      <c r="O185" s="19">
        <v>45869</v>
      </c>
      <c r="P185" s="20">
        <v>1423500</v>
      </c>
      <c r="Q185" s="17">
        <v>9</v>
      </c>
      <c r="R185" s="14">
        <f t="shared" si="89"/>
        <v>427050</v>
      </c>
      <c r="S185" s="15">
        <v>60000</v>
      </c>
      <c r="T185" s="15">
        <v>0</v>
      </c>
      <c r="U185" s="7">
        <f t="shared" si="83"/>
        <v>0</v>
      </c>
      <c r="V185" s="15">
        <v>0</v>
      </c>
      <c r="W185" s="7">
        <f t="shared" si="84"/>
        <v>0</v>
      </c>
      <c r="X185" s="15">
        <v>0</v>
      </c>
      <c r="Y185" s="7">
        <f t="shared" si="73"/>
        <v>0</v>
      </c>
      <c r="Z185" s="15">
        <v>0</v>
      </c>
      <c r="AA185" s="7">
        <f t="shared" si="74"/>
        <v>0</v>
      </c>
      <c r="AB185" s="15">
        <v>0</v>
      </c>
      <c r="AC185" s="14">
        <f t="shared" si="75"/>
        <v>0</v>
      </c>
      <c r="AD185" s="14">
        <f t="shared" si="90"/>
        <v>0</v>
      </c>
      <c r="AE185" s="14">
        <f t="shared" si="91"/>
        <v>0</v>
      </c>
      <c r="AF185" s="15">
        <v>0</v>
      </c>
      <c r="AG185" s="7">
        <f t="shared" si="76"/>
        <v>0</v>
      </c>
      <c r="AH185" s="15">
        <v>0</v>
      </c>
      <c r="AI185" s="7">
        <f t="shared" si="77"/>
        <v>0</v>
      </c>
      <c r="AJ185" s="15">
        <v>0</v>
      </c>
      <c r="AK185" s="14">
        <f t="shared" si="78"/>
        <v>0</v>
      </c>
      <c r="AL185" s="15">
        <v>0</v>
      </c>
      <c r="AM185" s="7">
        <f t="shared" si="79"/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6</v>
      </c>
      <c r="AS185" s="7">
        <f t="shared" si="85"/>
        <v>13587.954545454544</v>
      </c>
      <c r="AT185" s="14">
        <f t="shared" si="92"/>
        <v>6</v>
      </c>
      <c r="AU185" s="14">
        <f t="shared" si="92"/>
        <v>13587.954545454544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-54117</v>
      </c>
      <c r="BI185" s="15">
        <v>0</v>
      </c>
      <c r="BJ185" s="15">
        <v>0</v>
      </c>
      <c r="BK185" s="15">
        <v>106300</v>
      </c>
      <c r="BL185" s="15">
        <v>0</v>
      </c>
      <c r="BM185" s="15">
        <v>0</v>
      </c>
      <c r="BN185" s="15">
        <v>0</v>
      </c>
      <c r="BO185" s="15">
        <v>0</v>
      </c>
      <c r="BP185" s="15">
        <v>51304</v>
      </c>
      <c r="BQ185" s="15">
        <v>2300</v>
      </c>
      <c r="BR185" s="14">
        <f t="shared" si="93"/>
        <v>53604</v>
      </c>
      <c r="BS185" s="15">
        <v>15800</v>
      </c>
      <c r="BT185" s="15">
        <v>0</v>
      </c>
      <c r="BU185" s="15">
        <v>0</v>
      </c>
      <c r="BV185" s="14">
        <f t="shared" si="94"/>
        <v>15800</v>
      </c>
      <c r="BW185" s="15">
        <v>37208</v>
      </c>
      <c r="BX185" s="15">
        <v>4465</v>
      </c>
      <c r="BY185" s="15">
        <v>37208</v>
      </c>
      <c r="BZ185" s="15">
        <v>16419</v>
      </c>
      <c r="CA185" s="15">
        <v>0</v>
      </c>
      <c r="CB185" s="15">
        <v>95300</v>
      </c>
      <c r="CC185" s="15">
        <v>611225</v>
      </c>
      <c r="CD185" s="15">
        <v>43052</v>
      </c>
      <c r="CE185" s="15">
        <v>0</v>
      </c>
      <c r="CF185" s="14">
        <f t="shared" si="95"/>
        <v>760576.95454545459</v>
      </c>
      <c r="CG185" s="18"/>
      <c r="CH185" s="16"/>
      <c r="CI185" s="17"/>
      <c r="CJ185" s="17"/>
    </row>
    <row r="186" spans="1:88" s="13" customFormat="1" x14ac:dyDescent="0.35">
      <c r="A186" s="13">
        <v>1073243776</v>
      </c>
      <c r="B186" s="17" t="s">
        <v>95</v>
      </c>
      <c r="C186" s="17" t="s">
        <v>83</v>
      </c>
      <c r="D186" s="17" t="s">
        <v>286</v>
      </c>
      <c r="E186" s="17">
        <v>6563</v>
      </c>
      <c r="F186" s="17" t="s">
        <v>84</v>
      </c>
      <c r="G186" s="17" t="s">
        <v>85</v>
      </c>
      <c r="H186" s="17">
        <v>1073243776</v>
      </c>
      <c r="I186" s="17" t="s">
        <v>294</v>
      </c>
      <c r="J186" s="17" t="s">
        <v>94</v>
      </c>
      <c r="K186" s="17">
        <v>0</v>
      </c>
      <c r="L186" s="17">
        <v>0</v>
      </c>
      <c r="M186" s="17" t="s">
        <v>96</v>
      </c>
      <c r="N186" s="19">
        <v>45861</v>
      </c>
      <c r="O186" s="19">
        <v>45869</v>
      </c>
      <c r="P186" s="20">
        <v>1423500</v>
      </c>
      <c r="Q186" s="17">
        <v>9</v>
      </c>
      <c r="R186" s="14">
        <f t="shared" si="89"/>
        <v>427050</v>
      </c>
      <c r="S186" s="15">
        <v>60000</v>
      </c>
      <c r="T186" s="15">
        <v>0</v>
      </c>
      <c r="U186" s="7">
        <f t="shared" si="83"/>
        <v>0</v>
      </c>
      <c r="V186" s="15">
        <v>0</v>
      </c>
      <c r="W186" s="7">
        <f t="shared" si="84"/>
        <v>0</v>
      </c>
      <c r="X186" s="15">
        <v>0</v>
      </c>
      <c r="Y186" s="7">
        <f t="shared" si="73"/>
        <v>0</v>
      </c>
      <c r="Z186" s="15">
        <v>0</v>
      </c>
      <c r="AA186" s="7">
        <f t="shared" si="74"/>
        <v>0</v>
      </c>
      <c r="AB186" s="15">
        <v>0</v>
      </c>
      <c r="AC186" s="14">
        <f t="shared" si="75"/>
        <v>0</v>
      </c>
      <c r="AD186" s="14">
        <f t="shared" si="90"/>
        <v>0</v>
      </c>
      <c r="AE186" s="14">
        <f t="shared" si="91"/>
        <v>0</v>
      </c>
      <c r="AF186" s="15">
        <v>0</v>
      </c>
      <c r="AG186" s="7">
        <f t="shared" si="76"/>
        <v>0</v>
      </c>
      <c r="AH186" s="15">
        <v>0</v>
      </c>
      <c r="AI186" s="7">
        <f t="shared" si="77"/>
        <v>0</v>
      </c>
      <c r="AJ186" s="15">
        <v>0</v>
      </c>
      <c r="AK186" s="14">
        <f t="shared" si="78"/>
        <v>0</v>
      </c>
      <c r="AL186" s="15">
        <v>0</v>
      </c>
      <c r="AM186" s="7">
        <f t="shared" si="79"/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7">
        <f t="shared" si="85"/>
        <v>0</v>
      </c>
      <c r="AT186" s="14">
        <f t="shared" si="92"/>
        <v>0</v>
      </c>
      <c r="AU186" s="14">
        <f t="shared" si="92"/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-54117</v>
      </c>
      <c r="BI186" s="15">
        <v>0</v>
      </c>
      <c r="BJ186" s="15">
        <v>0</v>
      </c>
      <c r="BK186" s="15">
        <v>106300</v>
      </c>
      <c r="BL186" s="15">
        <v>0</v>
      </c>
      <c r="BM186" s="15">
        <v>0</v>
      </c>
      <c r="BN186" s="15">
        <v>0</v>
      </c>
      <c r="BO186" s="15">
        <v>0</v>
      </c>
      <c r="BP186" s="15">
        <v>51304</v>
      </c>
      <c r="BQ186" s="15">
        <v>2300</v>
      </c>
      <c r="BR186" s="14">
        <f t="shared" si="93"/>
        <v>53604</v>
      </c>
      <c r="BS186" s="15">
        <v>15200</v>
      </c>
      <c r="BT186" s="15">
        <v>0</v>
      </c>
      <c r="BU186" s="15">
        <v>0</v>
      </c>
      <c r="BV186" s="14">
        <f t="shared" si="94"/>
        <v>15200</v>
      </c>
      <c r="BW186" s="15">
        <v>36076</v>
      </c>
      <c r="BX186" s="15">
        <v>4329</v>
      </c>
      <c r="BY186" s="15">
        <v>36076</v>
      </c>
      <c r="BZ186" s="15">
        <v>15829</v>
      </c>
      <c r="CA186" s="15">
        <v>0</v>
      </c>
      <c r="CB186" s="15">
        <v>92310</v>
      </c>
      <c r="CC186" s="15">
        <v>594047</v>
      </c>
      <c r="CD186" s="15">
        <v>42022</v>
      </c>
      <c r="CE186" s="15">
        <v>0</v>
      </c>
      <c r="CF186" s="14">
        <f t="shared" si="95"/>
        <v>742369</v>
      </c>
      <c r="CG186" s="18"/>
      <c r="CH186" s="16"/>
      <c r="CI186" s="17"/>
      <c r="CJ186" s="17"/>
    </row>
    <row r="187" spans="1:88" s="13" customFormat="1" x14ac:dyDescent="0.35">
      <c r="A187" s="13">
        <v>1193092246</v>
      </c>
      <c r="B187" s="17" t="s">
        <v>95</v>
      </c>
      <c r="C187" s="17" t="s">
        <v>83</v>
      </c>
      <c r="D187" s="17" t="s">
        <v>286</v>
      </c>
      <c r="E187" s="17">
        <v>6563</v>
      </c>
      <c r="F187" s="17" t="s">
        <v>84</v>
      </c>
      <c r="G187" s="17" t="s">
        <v>85</v>
      </c>
      <c r="H187" s="17">
        <v>1193092246</v>
      </c>
      <c r="I187" s="17" t="s">
        <v>295</v>
      </c>
      <c r="J187" s="17" t="s">
        <v>94</v>
      </c>
      <c r="K187" s="17">
        <v>0</v>
      </c>
      <c r="L187" s="17">
        <v>0</v>
      </c>
      <c r="M187" s="17" t="s">
        <v>96</v>
      </c>
      <c r="N187" s="19">
        <v>45861</v>
      </c>
      <c r="O187" s="19">
        <v>1</v>
      </c>
      <c r="P187" s="20">
        <v>1423500</v>
      </c>
      <c r="Q187" s="17">
        <v>38</v>
      </c>
      <c r="R187" s="14">
        <f t="shared" si="89"/>
        <v>1803100</v>
      </c>
      <c r="S187" s="15">
        <v>253333</v>
      </c>
      <c r="T187" s="15">
        <v>0</v>
      </c>
      <c r="U187" s="7">
        <f t="shared" si="83"/>
        <v>0</v>
      </c>
      <c r="V187" s="15">
        <v>0</v>
      </c>
      <c r="W187" s="7">
        <f t="shared" si="84"/>
        <v>0</v>
      </c>
      <c r="X187" s="15">
        <v>0</v>
      </c>
      <c r="Y187" s="7">
        <f t="shared" si="73"/>
        <v>0</v>
      </c>
      <c r="Z187" s="15">
        <v>0</v>
      </c>
      <c r="AA187" s="7">
        <f t="shared" si="74"/>
        <v>0</v>
      </c>
      <c r="AB187" s="15">
        <v>0</v>
      </c>
      <c r="AC187" s="14">
        <f t="shared" si="75"/>
        <v>0</v>
      </c>
      <c r="AD187" s="14">
        <f t="shared" si="90"/>
        <v>0</v>
      </c>
      <c r="AE187" s="14">
        <f t="shared" si="91"/>
        <v>0</v>
      </c>
      <c r="AF187" s="15">
        <v>0</v>
      </c>
      <c r="AG187" s="7">
        <f t="shared" si="76"/>
        <v>0</v>
      </c>
      <c r="AH187" s="15">
        <v>0</v>
      </c>
      <c r="AI187" s="7">
        <f t="shared" si="77"/>
        <v>0</v>
      </c>
      <c r="AJ187" s="15">
        <v>0</v>
      </c>
      <c r="AK187" s="14">
        <f t="shared" si="78"/>
        <v>0</v>
      </c>
      <c r="AL187" s="15">
        <v>0</v>
      </c>
      <c r="AM187" s="7">
        <f t="shared" si="79"/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7">
        <f t="shared" si="85"/>
        <v>0</v>
      </c>
      <c r="AT187" s="14">
        <f t="shared" si="92"/>
        <v>0</v>
      </c>
      <c r="AU187" s="14">
        <f t="shared" si="92"/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29388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106300</v>
      </c>
      <c r="BL187" s="15">
        <v>0</v>
      </c>
      <c r="BM187" s="15">
        <v>0</v>
      </c>
      <c r="BN187" s="15">
        <v>0</v>
      </c>
      <c r="BO187" s="15">
        <v>0</v>
      </c>
      <c r="BP187" s="15">
        <v>219984</v>
      </c>
      <c r="BQ187" s="15">
        <v>9600</v>
      </c>
      <c r="BR187" s="14">
        <f t="shared" si="93"/>
        <v>229584</v>
      </c>
      <c r="BS187" s="15">
        <v>73400</v>
      </c>
      <c r="BT187" s="15">
        <v>0</v>
      </c>
      <c r="BU187" s="15">
        <v>0</v>
      </c>
      <c r="BV187" s="14">
        <f t="shared" si="94"/>
        <v>73400</v>
      </c>
      <c r="BW187" s="15">
        <v>173811</v>
      </c>
      <c r="BX187" s="15">
        <v>20858</v>
      </c>
      <c r="BY187" s="15">
        <v>173811</v>
      </c>
      <c r="BZ187" s="15">
        <v>78884</v>
      </c>
      <c r="CA187" s="15">
        <v>0</v>
      </c>
      <c r="CB187" s="15">
        <v>447364</v>
      </c>
      <c r="CC187" s="15">
        <v>2836169</v>
      </c>
      <c r="CD187" s="15">
        <v>176552</v>
      </c>
      <c r="CE187" s="15">
        <v>0</v>
      </c>
      <c r="CF187" s="14">
        <f t="shared" si="95"/>
        <v>3119021</v>
      </c>
      <c r="CG187" s="18"/>
      <c r="CH187" s="16"/>
      <c r="CI187" s="17"/>
      <c r="CJ187" s="17"/>
    </row>
    <row r="188" spans="1:88" s="13" customFormat="1" x14ac:dyDescent="0.35">
      <c r="A188" s="13">
        <v>1024561234</v>
      </c>
      <c r="B188" s="17" t="s">
        <v>95</v>
      </c>
      <c r="C188" s="17" t="s">
        <v>83</v>
      </c>
      <c r="D188" s="17" t="s">
        <v>286</v>
      </c>
      <c r="E188" s="17">
        <v>1980</v>
      </c>
      <c r="F188" s="17" t="s">
        <v>92</v>
      </c>
      <c r="G188" s="17" t="s">
        <v>93</v>
      </c>
      <c r="H188" s="17">
        <v>1024561234</v>
      </c>
      <c r="I188" s="17" t="s">
        <v>296</v>
      </c>
      <c r="J188" s="17" t="s">
        <v>94</v>
      </c>
      <c r="K188" s="17">
        <v>0</v>
      </c>
      <c r="L188" s="17">
        <v>0</v>
      </c>
      <c r="M188" s="17" t="s">
        <v>96</v>
      </c>
      <c r="N188" s="19">
        <v>45863</v>
      </c>
      <c r="O188" s="19">
        <v>1</v>
      </c>
      <c r="P188" s="20">
        <v>782925</v>
      </c>
      <c r="Q188" s="17">
        <v>36</v>
      </c>
      <c r="R188" s="14">
        <f t="shared" si="89"/>
        <v>939510</v>
      </c>
      <c r="S188" s="15">
        <v>240000</v>
      </c>
      <c r="T188" s="15">
        <v>0</v>
      </c>
      <c r="U188" s="7">
        <f t="shared" si="83"/>
        <v>0</v>
      </c>
      <c r="V188" s="15">
        <v>0</v>
      </c>
      <c r="W188" s="7">
        <f t="shared" si="84"/>
        <v>0</v>
      </c>
      <c r="X188" s="15">
        <v>0</v>
      </c>
      <c r="Y188" s="7">
        <f t="shared" si="73"/>
        <v>0</v>
      </c>
      <c r="Z188" s="15">
        <v>0</v>
      </c>
      <c r="AA188" s="7">
        <f t="shared" si="74"/>
        <v>0</v>
      </c>
      <c r="AB188" s="15">
        <v>0</v>
      </c>
      <c r="AC188" s="14">
        <f t="shared" si="75"/>
        <v>0</v>
      </c>
      <c r="AD188" s="14">
        <f t="shared" si="90"/>
        <v>0</v>
      </c>
      <c r="AE188" s="14">
        <f t="shared" si="91"/>
        <v>0</v>
      </c>
      <c r="AF188" s="15">
        <v>0</v>
      </c>
      <c r="AG188" s="7">
        <f t="shared" si="76"/>
        <v>0</v>
      </c>
      <c r="AH188" s="15">
        <v>0</v>
      </c>
      <c r="AI188" s="7">
        <f t="shared" si="77"/>
        <v>0</v>
      </c>
      <c r="AJ188" s="15">
        <v>0</v>
      </c>
      <c r="AK188" s="14">
        <f t="shared" si="78"/>
        <v>0</v>
      </c>
      <c r="AL188" s="15">
        <v>0</v>
      </c>
      <c r="AM188" s="7">
        <f t="shared" si="79"/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7">
        <f t="shared" si="85"/>
        <v>0</v>
      </c>
      <c r="AT188" s="14">
        <f t="shared" si="92"/>
        <v>0</v>
      </c>
      <c r="AU188" s="14">
        <f t="shared" si="92"/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34900</v>
      </c>
      <c r="BL188" s="15">
        <v>0</v>
      </c>
      <c r="BM188" s="15">
        <v>0</v>
      </c>
      <c r="BN188" s="15">
        <v>0</v>
      </c>
      <c r="BO188" s="15">
        <v>0</v>
      </c>
      <c r="BP188" s="15">
        <v>205060</v>
      </c>
      <c r="BQ188" s="15">
        <v>41700</v>
      </c>
      <c r="BR188" s="14">
        <f t="shared" si="93"/>
        <v>246760</v>
      </c>
      <c r="BS188" s="15">
        <v>37700</v>
      </c>
      <c r="BT188" s="15">
        <v>0</v>
      </c>
      <c r="BU188" s="15">
        <v>0</v>
      </c>
      <c r="BV188" s="14">
        <f t="shared" si="94"/>
        <v>37700</v>
      </c>
      <c r="BW188" s="15">
        <v>98288</v>
      </c>
      <c r="BX188" s="15">
        <v>11795</v>
      </c>
      <c r="BY188" s="15">
        <v>98288</v>
      </c>
      <c r="BZ188" s="15">
        <v>40508</v>
      </c>
      <c r="CA188" s="15">
        <v>0</v>
      </c>
      <c r="CB188" s="15">
        <v>248879</v>
      </c>
      <c r="CC188" s="15">
        <v>1712850</v>
      </c>
      <c r="CD188" s="15">
        <v>104865</v>
      </c>
      <c r="CE188" s="15">
        <v>0</v>
      </c>
      <c r="CF188" s="14">
        <f t="shared" si="95"/>
        <v>1852614</v>
      </c>
      <c r="CG188" s="18"/>
      <c r="CH188" s="16"/>
      <c r="CI188" s="17"/>
      <c r="CJ188" s="17"/>
    </row>
    <row r="189" spans="1:88" s="13" customFormat="1" x14ac:dyDescent="0.35">
      <c r="A189" s="13">
        <v>1000178545</v>
      </c>
      <c r="B189" s="17" t="s">
        <v>95</v>
      </c>
      <c r="C189" s="17" t="s">
        <v>83</v>
      </c>
      <c r="D189" s="17" t="s">
        <v>286</v>
      </c>
      <c r="E189" s="17">
        <v>1980</v>
      </c>
      <c r="F189" s="17" t="s">
        <v>92</v>
      </c>
      <c r="G189" s="17" t="s">
        <v>93</v>
      </c>
      <c r="H189" s="17">
        <v>1000178545</v>
      </c>
      <c r="I189" s="17" t="s">
        <v>297</v>
      </c>
      <c r="J189" s="17" t="s">
        <v>94</v>
      </c>
      <c r="K189" s="17">
        <v>0</v>
      </c>
      <c r="L189" s="17">
        <v>0</v>
      </c>
      <c r="M189" s="17" t="s">
        <v>96</v>
      </c>
      <c r="N189" s="19">
        <v>45863</v>
      </c>
      <c r="O189" s="19">
        <v>1</v>
      </c>
      <c r="P189" s="20">
        <v>782925</v>
      </c>
      <c r="Q189" s="17">
        <v>36</v>
      </c>
      <c r="R189" s="14">
        <f t="shared" si="89"/>
        <v>939510</v>
      </c>
      <c r="S189" s="15">
        <v>240000</v>
      </c>
      <c r="T189" s="15">
        <v>0</v>
      </c>
      <c r="U189" s="7">
        <f t="shared" si="83"/>
        <v>0</v>
      </c>
      <c r="V189" s="15">
        <v>0</v>
      </c>
      <c r="W189" s="7">
        <f t="shared" si="84"/>
        <v>0</v>
      </c>
      <c r="X189" s="15">
        <v>0</v>
      </c>
      <c r="Y189" s="7">
        <f t="shared" si="73"/>
        <v>0</v>
      </c>
      <c r="Z189" s="15">
        <v>0</v>
      </c>
      <c r="AA189" s="7">
        <f t="shared" si="74"/>
        <v>0</v>
      </c>
      <c r="AB189" s="15">
        <v>0</v>
      </c>
      <c r="AC189" s="14">
        <f t="shared" si="75"/>
        <v>0</v>
      </c>
      <c r="AD189" s="14">
        <f t="shared" si="90"/>
        <v>0</v>
      </c>
      <c r="AE189" s="14">
        <f t="shared" si="91"/>
        <v>0</v>
      </c>
      <c r="AF189" s="15">
        <v>0</v>
      </c>
      <c r="AG189" s="7">
        <f t="shared" si="76"/>
        <v>0</v>
      </c>
      <c r="AH189" s="15">
        <v>0</v>
      </c>
      <c r="AI189" s="7">
        <f t="shared" si="77"/>
        <v>0</v>
      </c>
      <c r="AJ189" s="15">
        <v>0</v>
      </c>
      <c r="AK189" s="14">
        <f t="shared" si="78"/>
        <v>0</v>
      </c>
      <c r="AL189" s="15">
        <v>0</v>
      </c>
      <c r="AM189" s="7">
        <f t="shared" si="79"/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7">
        <f t="shared" si="85"/>
        <v>0</v>
      </c>
      <c r="AT189" s="14">
        <f t="shared" si="92"/>
        <v>0</v>
      </c>
      <c r="AU189" s="14">
        <f t="shared" si="92"/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34900</v>
      </c>
      <c r="BL189" s="15">
        <v>0</v>
      </c>
      <c r="BM189" s="15">
        <v>0</v>
      </c>
      <c r="BN189" s="15">
        <v>0</v>
      </c>
      <c r="BO189" s="15">
        <v>0</v>
      </c>
      <c r="BP189" s="15">
        <v>205060</v>
      </c>
      <c r="BQ189" s="15">
        <v>41700</v>
      </c>
      <c r="BR189" s="14">
        <f t="shared" si="93"/>
        <v>246760</v>
      </c>
      <c r="BS189" s="15">
        <v>37700</v>
      </c>
      <c r="BT189" s="15">
        <v>0</v>
      </c>
      <c r="BU189" s="15">
        <v>0</v>
      </c>
      <c r="BV189" s="14">
        <f t="shared" si="94"/>
        <v>37700</v>
      </c>
      <c r="BW189" s="15">
        <v>98288</v>
      </c>
      <c r="BX189" s="15">
        <v>11795</v>
      </c>
      <c r="BY189" s="15">
        <v>98288</v>
      </c>
      <c r="BZ189" s="15">
        <v>40508</v>
      </c>
      <c r="CA189" s="15">
        <v>0</v>
      </c>
      <c r="CB189" s="15">
        <v>248879</v>
      </c>
      <c r="CC189" s="15">
        <v>1712850</v>
      </c>
      <c r="CD189" s="15">
        <v>104865</v>
      </c>
      <c r="CE189" s="15">
        <v>0</v>
      </c>
      <c r="CF189" s="14">
        <f t="shared" si="95"/>
        <v>1852614</v>
      </c>
      <c r="CG189" s="18"/>
      <c r="CH189" s="16"/>
      <c r="CI189" s="17"/>
      <c r="CJ189" s="17"/>
    </row>
    <row r="190" spans="1:88" s="13" customFormat="1" x14ac:dyDescent="0.35">
      <c r="A190" s="13">
        <v>1147687987</v>
      </c>
      <c r="B190" s="17" t="s">
        <v>95</v>
      </c>
      <c r="C190" s="17" t="s">
        <v>83</v>
      </c>
      <c r="D190" s="17" t="s">
        <v>286</v>
      </c>
      <c r="E190" s="17">
        <v>6571</v>
      </c>
      <c r="F190" s="17" t="s">
        <v>88</v>
      </c>
      <c r="G190" s="17" t="s">
        <v>89</v>
      </c>
      <c r="H190" s="17">
        <v>1147687987</v>
      </c>
      <c r="I190" s="17" t="s">
        <v>298</v>
      </c>
      <c r="J190" s="17" t="s">
        <v>94</v>
      </c>
      <c r="K190" s="17">
        <v>0</v>
      </c>
      <c r="L190" s="17">
        <v>0</v>
      </c>
      <c r="M190" s="17" t="s">
        <v>96</v>
      </c>
      <c r="N190" s="19">
        <v>45863</v>
      </c>
      <c r="O190" s="19">
        <v>1</v>
      </c>
      <c r="P190" s="20">
        <v>1423500</v>
      </c>
      <c r="Q190" s="17">
        <v>36</v>
      </c>
      <c r="R190" s="14">
        <f t="shared" si="89"/>
        <v>1708200</v>
      </c>
      <c r="S190" s="15">
        <v>240000</v>
      </c>
      <c r="T190" s="15">
        <v>0</v>
      </c>
      <c r="U190" s="7">
        <f t="shared" si="83"/>
        <v>0</v>
      </c>
      <c r="V190" s="15">
        <v>0</v>
      </c>
      <c r="W190" s="7">
        <f t="shared" si="84"/>
        <v>0</v>
      </c>
      <c r="X190" s="15">
        <v>0</v>
      </c>
      <c r="Y190" s="7">
        <f t="shared" si="73"/>
        <v>0</v>
      </c>
      <c r="Z190" s="15">
        <v>0</v>
      </c>
      <c r="AA190" s="7">
        <f t="shared" si="74"/>
        <v>0</v>
      </c>
      <c r="AB190" s="15">
        <v>0</v>
      </c>
      <c r="AC190" s="14">
        <f t="shared" si="75"/>
        <v>0</v>
      </c>
      <c r="AD190" s="14">
        <f t="shared" si="90"/>
        <v>0</v>
      </c>
      <c r="AE190" s="14">
        <f t="shared" si="91"/>
        <v>0</v>
      </c>
      <c r="AF190" s="15">
        <v>0</v>
      </c>
      <c r="AG190" s="7">
        <f t="shared" si="76"/>
        <v>0</v>
      </c>
      <c r="AH190" s="15">
        <v>0</v>
      </c>
      <c r="AI190" s="7">
        <f t="shared" si="77"/>
        <v>0</v>
      </c>
      <c r="AJ190" s="15">
        <v>0</v>
      </c>
      <c r="AK190" s="14">
        <f t="shared" si="78"/>
        <v>0</v>
      </c>
      <c r="AL190" s="15">
        <v>0</v>
      </c>
      <c r="AM190" s="7">
        <f t="shared" si="79"/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14</v>
      </c>
      <c r="AS190" s="7">
        <f t="shared" si="85"/>
        <v>31705.227272727268</v>
      </c>
      <c r="AT190" s="14">
        <f t="shared" si="92"/>
        <v>14</v>
      </c>
      <c r="AU190" s="14">
        <f t="shared" si="92"/>
        <v>31705.227272727268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51700</v>
      </c>
      <c r="BL190" s="15">
        <v>0</v>
      </c>
      <c r="BM190" s="15">
        <v>0</v>
      </c>
      <c r="BN190" s="15">
        <v>0</v>
      </c>
      <c r="BO190" s="15">
        <v>0</v>
      </c>
      <c r="BP190" s="15">
        <v>208892</v>
      </c>
      <c r="BQ190" s="15">
        <v>42500</v>
      </c>
      <c r="BR190" s="14">
        <f t="shared" si="93"/>
        <v>251392</v>
      </c>
      <c r="BS190" s="15">
        <v>69700</v>
      </c>
      <c r="BT190" s="15">
        <v>0</v>
      </c>
      <c r="BU190" s="15">
        <v>0</v>
      </c>
      <c r="BV190" s="14">
        <f t="shared" si="94"/>
        <v>69700</v>
      </c>
      <c r="BW190" s="15">
        <v>164985</v>
      </c>
      <c r="BX190" s="15">
        <v>19799</v>
      </c>
      <c r="BY190" s="15">
        <v>164985</v>
      </c>
      <c r="BZ190" s="15">
        <v>75028</v>
      </c>
      <c r="CA190" s="15">
        <v>0</v>
      </c>
      <c r="CB190" s="15">
        <v>424797</v>
      </c>
      <c r="CC190" s="15">
        <v>2725794</v>
      </c>
      <c r="CD190" s="15">
        <v>166650</v>
      </c>
      <c r="CE190" s="15">
        <v>0</v>
      </c>
      <c r="CF190" s="14">
        <f t="shared" si="95"/>
        <v>2944144.2272727275</v>
      </c>
      <c r="CG190" s="18"/>
      <c r="CH190" s="16"/>
      <c r="CI190" s="17"/>
      <c r="CJ190" s="17"/>
    </row>
    <row r="191" spans="1:88" s="13" customFormat="1" x14ac:dyDescent="0.35">
      <c r="A191" s="13">
        <v>1026299308</v>
      </c>
      <c r="B191" s="17" t="s">
        <v>95</v>
      </c>
      <c r="C191" s="17" t="s">
        <v>83</v>
      </c>
      <c r="D191" s="17" t="s">
        <v>286</v>
      </c>
      <c r="E191" s="17">
        <v>6571</v>
      </c>
      <c r="F191" s="17" t="s">
        <v>88</v>
      </c>
      <c r="G191" s="17" t="s">
        <v>89</v>
      </c>
      <c r="H191" s="17">
        <v>1026299308</v>
      </c>
      <c r="I191" s="17" t="s">
        <v>299</v>
      </c>
      <c r="J191" s="17" t="s">
        <v>94</v>
      </c>
      <c r="K191" s="17">
        <v>0</v>
      </c>
      <c r="L191" s="17">
        <v>0</v>
      </c>
      <c r="M191" s="17" t="s">
        <v>96</v>
      </c>
      <c r="N191" s="19">
        <v>45863</v>
      </c>
      <c r="O191" s="19">
        <v>1</v>
      </c>
      <c r="P191" s="20">
        <v>1423500</v>
      </c>
      <c r="Q191" s="17">
        <v>36</v>
      </c>
      <c r="R191" s="14">
        <f t="shared" si="89"/>
        <v>1708200</v>
      </c>
      <c r="S191" s="15">
        <v>240000</v>
      </c>
      <c r="T191" s="15">
        <v>0</v>
      </c>
      <c r="U191" s="7">
        <f t="shared" si="83"/>
        <v>0</v>
      </c>
      <c r="V191" s="15">
        <v>0</v>
      </c>
      <c r="W191" s="7">
        <f t="shared" si="84"/>
        <v>0</v>
      </c>
      <c r="X191" s="15">
        <v>0</v>
      </c>
      <c r="Y191" s="7">
        <f t="shared" si="73"/>
        <v>0</v>
      </c>
      <c r="Z191" s="15">
        <v>0</v>
      </c>
      <c r="AA191" s="7">
        <f t="shared" si="74"/>
        <v>0</v>
      </c>
      <c r="AB191" s="15">
        <v>0</v>
      </c>
      <c r="AC191" s="14">
        <f t="shared" si="75"/>
        <v>0</v>
      </c>
      <c r="AD191" s="14">
        <f t="shared" si="90"/>
        <v>0</v>
      </c>
      <c r="AE191" s="14">
        <f t="shared" si="91"/>
        <v>0</v>
      </c>
      <c r="AF191" s="15">
        <v>0</v>
      </c>
      <c r="AG191" s="7">
        <f t="shared" si="76"/>
        <v>0</v>
      </c>
      <c r="AH191" s="15">
        <v>0</v>
      </c>
      <c r="AI191" s="7">
        <f t="shared" si="77"/>
        <v>0</v>
      </c>
      <c r="AJ191" s="15">
        <v>0</v>
      </c>
      <c r="AK191" s="14">
        <f t="shared" si="78"/>
        <v>0</v>
      </c>
      <c r="AL191" s="15">
        <v>0</v>
      </c>
      <c r="AM191" s="7">
        <f t="shared" si="79"/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18.97</v>
      </c>
      <c r="AS191" s="7">
        <f t="shared" si="85"/>
        <v>42960.582954545447</v>
      </c>
      <c r="AT191" s="14">
        <f t="shared" si="92"/>
        <v>18.97</v>
      </c>
      <c r="AU191" s="14">
        <f t="shared" si="92"/>
        <v>42960.582954545447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51700</v>
      </c>
      <c r="BL191" s="15">
        <v>0</v>
      </c>
      <c r="BM191" s="15">
        <v>0</v>
      </c>
      <c r="BN191" s="15">
        <v>0</v>
      </c>
      <c r="BO191" s="15">
        <v>0</v>
      </c>
      <c r="BP191" s="15">
        <v>210242</v>
      </c>
      <c r="BQ191" s="15">
        <v>42800</v>
      </c>
      <c r="BR191" s="14">
        <f t="shared" si="93"/>
        <v>253042</v>
      </c>
      <c r="BS191" s="15">
        <v>70100</v>
      </c>
      <c r="BT191" s="15">
        <v>0</v>
      </c>
      <c r="BU191" s="15">
        <v>0</v>
      </c>
      <c r="BV191" s="14">
        <f t="shared" si="94"/>
        <v>70100</v>
      </c>
      <c r="BW191" s="15">
        <v>165923</v>
      </c>
      <c r="BX191" s="15">
        <v>19912</v>
      </c>
      <c r="BY191" s="15">
        <v>165923</v>
      </c>
      <c r="BZ191" s="15">
        <v>75516</v>
      </c>
      <c r="CA191" s="15">
        <v>0</v>
      </c>
      <c r="CB191" s="15">
        <v>427274</v>
      </c>
      <c r="CC191" s="15">
        <v>2741577</v>
      </c>
      <c r="CD191" s="15">
        <v>167597</v>
      </c>
      <c r="CE191" s="15">
        <v>0</v>
      </c>
      <c r="CF191" s="14">
        <f t="shared" si="95"/>
        <v>2960873.5829545455</v>
      </c>
      <c r="CG191" s="18"/>
      <c r="CH191" s="16"/>
      <c r="CI191" s="17"/>
      <c r="CJ191" s="15"/>
    </row>
    <row r="192" spans="1:88" s="13" customFormat="1" x14ac:dyDescent="0.35">
      <c r="A192" s="13">
        <v>1014255415</v>
      </c>
      <c r="B192" s="17" t="s">
        <v>95</v>
      </c>
      <c r="C192" s="17" t="s">
        <v>83</v>
      </c>
      <c r="D192" s="17" t="s">
        <v>286</v>
      </c>
      <c r="E192" s="17">
        <v>6563</v>
      </c>
      <c r="F192" s="17" t="s">
        <v>84</v>
      </c>
      <c r="G192" s="17" t="s">
        <v>85</v>
      </c>
      <c r="H192" s="17">
        <v>1014255415</v>
      </c>
      <c r="I192" s="17" t="s">
        <v>300</v>
      </c>
      <c r="J192" s="17" t="s">
        <v>94</v>
      </c>
      <c r="K192" s="17">
        <v>0</v>
      </c>
      <c r="L192" s="17">
        <v>0</v>
      </c>
      <c r="M192" s="17" t="s">
        <v>96</v>
      </c>
      <c r="N192" s="19">
        <v>45866</v>
      </c>
      <c r="O192" s="19">
        <v>1</v>
      </c>
      <c r="P192" s="20">
        <v>1423500</v>
      </c>
      <c r="Q192" s="17">
        <v>33</v>
      </c>
      <c r="R192" s="14">
        <f t="shared" si="89"/>
        <v>1565850</v>
      </c>
      <c r="S192" s="15">
        <v>220000</v>
      </c>
      <c r="T192" s="15">
        <v>0</v>
      </c>
      <c r="U192" s="7">
        <f t="shared" si="83"/>
        <v>0</v>
      </c>
      <c r="V192" s="15">
        <v>0</v>
      </c>
      <c r="W192" s="7">
        <f t="shared" si="84"/>
        <v>0</v>
      </c>
      <c r="X192" s="15">
        <v>0</v>
      </c>
      <c r="Y192" s="7">
        <f t="shared" si="73"/>
        <v>0</v>
      </c>
      <c r="Z192" s="15">
        <v>0</v>
      </c>
      <c r="AA192" s="7">
        <f t="shared" si="74"/>
        <v>0</v>
      </c>
      <c r="AB192" s="15">
        <v>0</v>
      </c>
      <c r="AC192" s="14">
        <f t="shared" si="75"/>
        <v>0</v>
      </c>
      <c r="AD192" s="14">
        <f t="shared" si="90"/>
        <v>0</v>
      </c>
      <c r="AE192" s="14">
        <f t="shared" si="91"/>
        <v>0</v>
      </c>
      <c r="AF192" s="15">
        <v>0</v>
      </c>
      <c r="AG192" s="7">
        <f t="shared" si="76"/>
        <v>0</v>
      </c>
      <c r="AH192" s="15">
        <v>0</v>
      </c>
      <c r="AI192" s="7">
        <f t="shared" si="77"/>
        <v>0</v>
      </c>
      <c r="AJ192" s="15">
        <v>0</v>
      </c>
      <c r="AK192" s="14">
        <f t="shared" si="78"/>
        <v>0</v>
      </c>
      <c r="AL192" s="15">
        <v>0</v>
      </c>
      <c r="AM192" s="7">
        <f t="shared" si="79"/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7">
        <f t="shared" si="85"/>
        <v>0</v>
      </c>
      <c r="AT192" s="14">
        <f t="shared" si="92"/>
        <v>0</v>
      </c>
      <c r="AU192" s="14">
        <f t="shared" si="92"/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11021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106300</v>
      </c>
      <c r="BL192" s="15">
        <v>0</v>
      </c>
      <c r="BM192" s="15">
        <v>0</v>
      </c>
      <c r="BN192" s="15">
        <v>0</v>
      </c>
      <c r="BO192" s="15">
        <v>0</v>
      </c>
      <c r="BP192" s="15">
        <v>189319</v>
      </c>
      <c r="BQ192" s="15">
        <v>38500</v>
      </c>
      <c r="BR192" s="14">
        <f t="shared" si="93"/>
        <v>227819</v>
      </c>
      <c r="BS192" s="15">
        <v>63100</v>
      </c>
      <c r="BT192" s="15">
        <v>0</v>
      </c>
      <c r="BU192" s="15">
        <v>0</v>
      </c>
      <c r="BV192" s="14">
        <f t="shared" si="94"/>
        <v>63100</v>
      </c>
      <c r="BW192" s="15">
        <v>149734</v>
      </c>
      <c r="BX192" s="15">
        <v>17969</v>
      </c>
      <c r="BY192" s="15">
        <v>149734</v>
      </c>
      <c r="BZ192" s="15">
        <v>68195</v>
      </c>
      <c r="CA192" s="15">
        <v>0</v>
      </c>
      <c r="CB192" s="15">
        <v>385632</v>
      </c>
      <c r="CC192" s="15">
        <v>2473422</v>
      </c>
      <c r="CD192" s="15">
        <v>154785</v>
      </c>
      <c r="CE192" s="15">
        <v>0</v>
      </c>
      <c r="CF192" s="14">
        <f t="shared" si="95"/>
        <v>2734507</v>
      </c>
      <c r="CG192" s="18"/>
      <c r="CH192" s="16"/>
      <c r="CI192" s="17"/>
      <c r="CJ192" s="17"/>
    </row>
    <row r="193" spans="1:88" s="13" customFormat="1" x14ac:dyDescent="0.35">
      <c r="A193" s="13">
        <v>1033682073</v>
      </c>
      <c r="B193" s="17" t="s">
        <v>95</v>
      </c>
      <c r="C193" s="17" t="s">
        <v>83</v>
      </c>
      <c r="D193" s="17" t="s">
        <v>286</v>
      </c>
      <c r="E193" s="17">
        <v>6563</v>
      </c>
      <c r="F193" s="17" t="s">
        <v>84</v>
      </c>
      <c r="G193" s="17" t="s">
        <v>85</v>
      </c>
      <c r="H193" s="17">
        <v>1033682073</v>
      </c>
      <c r="I193" s="17" t="s">
        <v>301</v>
      </c>
      <c r="J193" s="17" t="s">
        <v>94</v>
      </c>
      <c r="K193" s="17">
        <v>0</v>
      </c>
      <c r="L193" s="17">
        <v>0</v>
      </c>
      <c r="M193" s="17" t="s">
        <v>96</v>
      </c>
      <c r="N193" s="19">
        <v>45866</v>
      </c>
      <c r="O193" s="19">
        <v>45869</v>
      </c>
      <c r="P193" s="20">
        <v>1423500</v>
      </c>
      <c r="Q193" s="17">
        <v>4</v>
      </c>
      <c r="R193" s="14">
        <f t="shared" si="89"/>
        <v>189800</v>
      </c>
      <c r="S193" s="15">
        <v>26667</v>
      </c>
      <c r="T193" s="15">
        <v>0</v>
      </c>
      <c r="U193" s="7">
        <f t="shared" si="83"/>
        <v>0</v>
      </c>
      <c r="V193" s="15">
        <v>0</v>
      </c>
      <c r="W193" s="7">
        <f t="shared" si="84"/>
        <v>0</v>
      </c>
      <c r="X193" s="15">
        <v>0</v>
      </c>
      <c r="Y193" s="7">
        <f t="shared" si="73"/>
        <v>0</v>
      </c>
      <c r="Z193" s="15">
        <v>0</v>
      </c>
      <c r="AA193" s="7">
        <f t="shared" si="74"/>
        <v>0</v>
      </c>
      <c r="AB193" s="15">
        <v>0</v>
      </c>
      <c r="AC193" s="14">
        <f t="shared" si="75"/>
        <v>0</v>
      </c>
      <c r="AD193" s="14">
        <f t="shared" si="90"/>
        <v>0</v>
      </c>
      <c r="AE193" s="14">
        <f t="shared" si="91"/>
        <v>0</v>
      </c>
      <c r="AF193" s="15">
        <v>0</v>
      </c>
      <c r="AG193" s="7">
        <f t="shared" si="76"/>
        <v>0</v>
      </c>
      <c r="AH193" s="15">
        <v>0</v>
      </c>
      <c r="AI193" s="7">
        <f t="shared" si="77"/>
        <v>0</v>
      </c>
      <c r="AJ193" s="15">
        <v>0</v>
      </c>
      <c r="AK193" s="14">
        <f t="shared" si="78"/>
        <v>0</v>
      </c>
      <c r="AL193" s="15">
        <v>0</v>
      </c>
      <c r="AM193" s="7">
        <f t="shared" si="79"/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3</v>
      </c>
      <c r="AS193" s="7">
        <f t="shared" si="85"/>
        <v>6793.9772727272721</v>
      </c>
      <c r="AT193" s="14">
        <f t="shared" si="92"/>
        <v>3</v>
      </c>
      <c r="AU193" s="14">
        <f t="shared" si="92"/>
        <v>6793.9772727272721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-54117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22804</v>
      </c>
      <c r="BQ193" s="15">
        <v>4700</v>
      </c>
      <c r="BR193" s="14">
        <f t="shared" si="93"/>
        <v>27504</v>
      </c>
      <c r="BS193" s="15">
        <v>6000</v>
      </c>
      <c r="BT193" s="15">
        <v>0</v>
      </c>
      <c r="BU193" s="15">
        <v>0</v>
      </c>
      <c r="BV193" s="14">
        <f t="shared" si="94"/>
        <v>6000</v>
      </c>
      <c r="BW193" s="15">
        <v>14095</v>
      </c>
      <c r="BX193" s="15">
        <v>1692</v>
      </c>
      <c r="BY193" s="15">
        <v>14095</v>
      </c>
      <c r="BZ193" s="15">
        <v>6231</v>
      </c>
      <c r="CA193" s="15">
        <v>0</v>
      </c>
      <c r="CB193" s="15">
        <v>36113</v>
      </c>
      <c r="CC193" s="15">
        <v>238761</v>
      </c>
      <c r="CD193" s="15">
        <v>14326</v>
      </c>
      <c r="CE193" s="15">
        <v>0</v>
      </c>
      <c r="CF193" s="14">
        <f t="shared" si="95"/>
        <v>253086.97727272726</v>
      </c>
      <c r="CG193" s="18"/>
      <c r="CH193" s="16"/>
      <c r="CI193" s="17"/>
      <c r="CJ193" s="17"/>
    </row>
    <row r="194" spans="1:88" s="13" customFormat="1" x14ac:dyDescent="0.35">
      <c r="A194" s="13">
        <v>1000384336</v>
      </c>
      <c r="B194" s="17" t="s">
        <v>95</v>
      </c>
      <c r="C194" s="17" t="s">
        <v>83</v>
      </c>
      <c r="D194" s="17" t="s">
        <v>286</v>
      </c>
      <c r="E194" s="17">
        <v>6563</v>
      </c>
      <c r="F194" s="17" t="s">
        <v>84</v>
      </c>
      <c r="G194" s="17" t="s">
        <v>85</v>
      </c>
      <c r="H194" s="17">
        <v>1000384336</v>
      </c>
      <c r="I194" s="17" t="s">
        <v>302</v>
      </c>
      <c r="J194" s="17" t="s">
        <v>94</v>
      </c>
      <c r="K194" s="17">
        <v>0</v>
      </c>
      <c r="L194" s="17">
        <v>0</v>
      </c>
      <c r="M194" s="17" t="s">
        <v>96</v>
      </c>
      <c r="N194" s="19">
        <v>45866</v>
      </c>
      <c r="O194" s="19">
        <v>1</v>
      </c>
      <c r="P194" s="20">
        <v>1423500</v>
      </c>
      <c r="Q194" s="17">
        <v>33</v>
      </c>
      <c r="R194" s="14">
        <f t="shared" si="89"/>
        <v>1565850</v>
      </c>
      <c r="S194" s="15">
        <v>220000</v>
      </c>
      <c r="T194" s="15">
        <v>0</v>
      </c>
      <c r="U194" s="7">
        <f t="shared" si="83"/>
        <v>0</v>
      </c>
      <c r="V194" s="15">
        <v>0</v>
      </c>
      <c r="W194" s="7">
        <f t="shared" si="84"/>
        <v>0</v>
      </c>
      <c r="X194" s="15">
        <v>0</v>
      </c>
      <c r="Y194" s="7">
        <f t="shared" ref="Y194:Y204" si="99">+P194/235*X194*1.75</f>
        <v>0</v>
      </c>
      <c r="Z194" s="15">
        <v>0</v>
      </c>
      <c r="AA194" s="7">
        <f t="shared" si="74"/>
        <v>0</v>
      </c>
      <c r="AB194" s="15">
        <v>0</v>
      </c>
      <c r="AC194" s="14">
        <f t="shared" si="75"/>
        <v>0</v>
      </c>
      <c r="AD194" s="14">
        <f t="shared" si="90"/>
        <v>0</v>
      </c>
      <c r="AE194" s="14">
        <f t="shared" si="91"/>
        <v>0</v>
      </c>
      <c r="AF194" s="15">
        <v>0</v>
      </c>
      <c r="AG194" s="7">
        <f t="shared" si="76"/>
        <v>0</v>
      </c>
      <c r="AH194" s="15">
        <v>0</v>
      </c>
      <c r="AI194" s="7">
        <f t="shared" si="77"/>
        <v>0</v>
      </c>
      <c r="AJ194" s="15">
        <v>0</v>
      </c>
      <c r="AK194" s="14">
        <f t="shared" si="78"/>
        <v>0</v>
      </c>
      <c r="AL194" s="15">
        <v>0</v>
      </c>
      <c r="AM194" s="7">
        <f t="shared" si="79"/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7">
        <f t="shared" si="85"/>
        <v>0</v>
      </c>
      <c r="AT194" s="14">
        <f t="shared" si="92"/>
        <v>0</v>
      </c>
      <c r="AU194" s="14">
        <f t="shared" si="92"/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11021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106300</v>
      </c>
      <c r="BL194" s="15">
        <v>0</v>
      </c>
      <c r="BM194" s="15">
        <v>0</v>
      </c>
      <c r="BN194" s="15">
        <v>0</v>
      </c>
      <c r="BO194" s="15">
        <v>0</v>
      </c>
      <c r="BP194" s="15">
        <v>189319</v>
      </c>
      <c r="BQ194" s="15">
        <v>38500</v>
      </c>
      <c r="BR194" s="14">
        <f t="shared" si="93"/>
        <v>227819</v>
      </c>
      <c r="BS194" s="15">
        <v>63100</v>
      </c>
      <c r="BT194" s="15">
        <v>0</v>
      </c>
      <c r="BU194" s="15">
        <v>0</v>
      </c>
      <c r="BV194" s="14">
        <f t="shared" si="94"/>
        <v>63100</v>
      </c>
      <c r="BW194" s="15">
        <v>149734</v>
      </c>
      <c r="BX194" s="15">
        <v>17969</v>
      </c>
      <c r="BY194" s="15">
        <v>149734</v>
      </c>
      <c r="BZ194" s="15">
        <v>68195</v>
      </c>
      <c r="CA194" s="15">
        <v>0</v>
      </c>
      <c r="CB194" s="15">
        <v>385632</v>
      </c>
      <c r="CC194" s="15">
        <v>2473422</v>
      </c>
      <c r="CD194" s="15">
        <v>154785</v>
      </c>
      <c r="CE194" s="15">
        <v>0</v>
      </c>
      <c r="CF194" s="14">
        <f t="shared" si="95"/>
        <v>2734507</v>
      </c>
      <c r="CG194" s="18"/>
      <c r="CH194" s="16"/>
      <c r="CI194" s="17"/>
      <c r="CJ194" s="17"/>
    </row>
    <row r="195" spans="1:88" s="13" customFormat="1" x14ac:dyDescent="0.35">
      <c r="A195" s="13">
        <v>1007422411</v>
      </c>
      <c r="B195" s="17" t="s">
        <v>95</v>
      </c>
      <c r="C195" s="17" t="s">
        <v>83</v>
      </c>
      <c r="D195" s="17" t="s">
        <v>286</v>
      </c>
      <c r="E195" s="17">
        <v>6563</v>
      </c>
      <c r="F195" s="17" t="s">
        <v>84</v>
      </c>
      <c r="G195" s="17" t="s">
        <v>85</v>
      </c>
      <c r="H195" s="17">
        <v>1007422411</v>
      </c>
      <c r="I195" s="17" t="s">
        <v>303</v>
      </c>
      <c r="J195" s="17" t="s">
        <v>94</v>
      </c>
      <c r="K195" s="17">
        <v>0</v>
      </c>
      <c r="L195" s="17">
        <v>0</v>
      </c>
      <c r="M195" s="17" t="s">
        <v>96</v>
      </c>
      <c r="N195" s="19">
        <v>45866</v>
      </c>
      <c r="O195" s="19">
        <v>1</v>
      </c>
      <c r="P195" s="20">
        <v>1423500</v>
      </c>
      <c r="Q195" s="17">
        <v>33</v>
      </c>
      <c r="R195" s="14">
        <f t="shared" si="89"/>
        <v>1565850</v>
      </c>
      <c r="S195" s="15">
        <v>220000</v>
      </c>
      <c r="T195" s="15">
        <v>0</v>
      </c>
      <c r="U195" s="7">
        <f t="shared" ref="U195:U252" si="100">+P195/220*T195*1.25</f>
        <v>0</v>
      </c>
      <c r="V195" s="15">
        <v>0</v>
      </c>
      <c r="W195" s="7">
        <f t="shared" ref="W195:W252" si="101">+P195/220*V195*1.75</f>
        <v>0</v>
      </c>
      <c r="X195" s="15">
        <v>0</v>
      </c>
      <c r="Y195" s="7">
        <f t="shared" si="99"/>
        <v>0</v>
      </c>
      <c r="Z195" s="15">
        <v>0</v>
      </c>
      <c r="AA195" s="7">
        <f t="shared" ref="AA195:AA252" si="102">+P195/220*Z195*2.5</f>
        <v>0</v>
      </c>
      <c r="AB195" s="15">
        <v>0</v>
      </c>
      <c r="AC195" s="14">
        <f t="shared" ref="AC195:AC252" si="103">+P195/220*AB195*2</f>
        <v>0</v>
      </c>
      <c r="AD195" s="14">
        <f t="shared" si="90"/>
        <v>0</v>
      </c>
      <c r="AE195" s="14">
        <f t="shared" si="91"/>
        <v>0</v>
      </c>
      <c r="AF195" s="15">
        <v>0</v>
      </c>
      <c r="AG195" s="7">
        <f t="shared" ref="AG195:AG252" si="104">+P195/220*AF195*1.8</f>
        <v>0</v>
      </c>
      <c r="AH195" s="15">
        <v>0</v>
      </c>
      <c r="AI195" s="7">
        <f t="shared" ref="AI195:AI252" si="105">+P195/220*AH195*1.8</f>
        <v>0</v>
      </c>
      <c r="AJ195" s="15">
        <v>0</v>
      </c>
      <c r="AK195" s="14">
        <f t="shared" ref="AK195:AK252" si="106">+P195/220*AJ195*2.1</f>
        <v>0</v>
      </c>
      <c r="AL195" s="15">
        <v>0</v>
      </c>
      <c r="AM195" s="7">
        <f t="shared" ref="AM195:AM252" si="107">+P195/220*AL195*2.1</f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7">
        <f t="shared" ref="AS195:AS252" si="108">+P195/220*AR195*0.35</f>
        <v>0</v>
      </c>
      <c r="AT195" s="14">
        <f t="shared" si="92"/>
        <v>0</v>
      </c>
      <c r="AU195" s="14">
        <f t="shared" si="92"/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11021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106300</v>
      </c>
      <c r="BL195" s="15">
        <v>0</v>
      </c>
      <c r="BM195" s="15">
        <v>0</v>
      </c>
      <c r="BN195" s="15">
        <v>0</v>
      </c>
      <c r="BO195" s="15">
        <v>0</v>
      </c>
      <c r="BP195" s="15">
        <v>189319</v>
      </c>
      <c r="BQ195" s="15">
        <v>38500</v>
      </c>
      <c r="BR195" s="14">
        <f t="shared" si="93"/>
        <v>227819</v>
      </c>
      <c r="BS195" s="15">
        <v>63100</v>
      </c>
      <c r="BT195" s="15">
        <v>0</v>
      </c>
      <c r="BU195" s="15">
        <v>0</v>
      </c>
      <c r="BV195" s="14">
        <f t="shared" si="94"/>
        <v>63100</v>
      </c>
      <c r="BW195" s="15">
        <v>149734</v>
      </c>
      <c r="BX195" s="15">
        <v>17969</v>
      </c>
      <c r="BY195" s="15">
        <v>149734</v>
      </c>
      <c r="BZ195" s="15">
        <v>68195</v>
      </c>
      <c r="CA195" s="15">
        <v>0</v>
      </c>
      <c r="CB195" s="15">
        <v>385632</v>
      </c>
      <c r="CC195" s="15">
        <v>2473422</v>
      </c>
      <c r="CD195" s="15">
        <v>154785</v>
      </c>
      <c r="CE195" s="15">
        <v>0</v>
      </c>
      <c r="CF195" s="14">
        <f t="shared" si="95"/>
        <v>2734507</v>
      </c>
      <c r="CG195" s="18"/>
      <c r="CH195" s="16"/>
      <c r="CI195" s="17"/>
      <c r="CJ195" s="17"/>
    </row>
    <row r="196" spans="1:88" s="13" customFormat="1" x14ac:dyDescent="0.35">
      <c r="A196" s="13">
        <v>1003663631</v>
      </c>
      <c r="B196" s="17" t="s">
        <v>95</v>
      </c>
      <c r="C196" s="17" t="s">
        <v>83</v>
      </c>
      <c r="D196" s="17" t="s">
        <v>286</v>
      </c>
      <c r="E196" s="17">
        <v>6563</v>
      </c>
      <c r="F196" s="17" t="s">
        <v>84</v>
      </c>
      <c r="G196" s="17" t="s">
        <v>85</v>
      </c>
      <c r="H196" s="17">
        <v>1003663631</v>
      </c>
      <c r="I196" s="17" t="s">
        <v>304</v>
      </c>
      <c r="J196" s="17" t="s">
        <v>94</v>
      </c>
      <c r="K196" s="17">
        <v>0</v>
      </c>
      <c r="L196" s="17">
        <v>0</v>
      </c>
      <c r="M196" s="17" t="s">
        <v>96</v>
      </c>
      <c r="N196" s="19">
        <v>45866</v>
      </c>
      <c r="O196" s="19">
        <v>1</v>
      </c>
      <c r="P196" s="20">
        <v>1423500</v>
      </c>
      <c r="Q196" s="17">
        <v>33</v>
      </c>
      <c r="R196" s="14">
        <f t="shared" si="89"/>
        <v>1565850</v>
      </c>
      <c r="S196" s="15">
        <v>220000</v>
      </c>
      <c r="T196" s="15">
        <v>0</v>
      </c>
      <c r="U196" s="7">
        <f t="shared" si="100"/>
        <v>0</v>
      </c>
      <c r="V196" s="15">
        <v>0</v>
      </c>
      <c r="W196" s="7">
        <f t="shared" si="101"/>
        <v>0</v>
      </c>
      <c r="X196" s="15">
        <v>0</v>
      </c>
      <c r="Y196" s="7">
        <f t="shared" si="99"/>
        <v>0</v>
      </c>
      <c r="Z196" s="15">
        <v>0</v>
      </c>
      <c r="AA196" s="7">
        <f t="shared" si="102"/>
        <v>0</v>
      </c>
      <c r="AB196" s="15">
        <v>0</v>
      </c>
      <c r="AC196" s="14">
        <f t="shared" si="103"/>
        <v>0</v>
      </c>
      <c r="AD196" s="14">
        <f t="shared" si="90"/>
        <v>0</v>
      </c>
      <c r="AE196" s="14">
        <f t="shared" si="91"/>
        <v>0</v>
      </c>
      <c r="AF196" s="15">
        <v>0</v>
      </c>
      <c r="AG196" s="7">
        <f t="shared" si="104"/>
        <v>0</v>
      </c>
      <c r="AH196" s="15">
        <v>0</v>
      </c>
      <c r="AI196" s="7">
        <f t="shared" si="105"/>
        <v>0</v>
      </c>
      <c r="AJ196" s="15">
        <v>0</v>
      </c>
      <c r="AK196" s="14">
        <f t="shared" si="106"/>
        <v>0</v>
      </c>
      <c r="AL196" s="15">
        <v>0</v>
      </c>
      <c r="AM196" s="7">
        <f t="shared" si="107"/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4</v>
      </c>
      <c r="AS196" s="7">
        <f t="shared" si="108"/>
        <v>9058.6363636363621</v>
      </c>
      <c r="AT196" s="14">
        <f t="shared" si="92"/>
        <v>4</v>
      </c>
      <c r="AU196" s="14">
        <f t="shared" si="92"/>
        <v>9058.6363636363621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11021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106300</v>
      </c>
      <c r="BL196" s="15">
        <v>0</v>
      </c>
      <c r="BM196" s="15">
        <v>0</v>
      </c>
      <c r="BN196" s="15">
        <v>0</v>
      </c>
      <c r="BO196" s="15">
        <v>0</v>
      </c>
      <c r="BP196" s="15">
        <v>190357</v>
      </c>
      <c r="BQ196" s="15">
        <v>38700</v>
      </c>
      <c r="BR196" s="14">
        <f t="shared" si="93"/>
        <v>229057</v>
      </c>
      <c r="BS196" s="15">
        <v>63500</v>
      </c>
      <c r="BT196" s="15">
        <v>0</v>
      </c>
      <c r="BU196" s="15">
        <v>0</v>
      </c>
      <c r="BV196" s="14">
        <f t="shared" si="94"/>
        <v>63500</v>
      </c>
      <c r="BW196" s="15">
        <v>150489</v>
      </c>
      <c r="BX196" s="15">
        <v>18060</v>
      </c>
      <c r="BY196" s="15">
        <v>150489</v>
      </c>
      <c r="BZ196" s="15">
        <v>68587</v>
      </c>
      <c r="CA196" s="15">
        <v>0</v>
      </c>
      <c r="CB196" s="15">
        <v>387625</v>
      </c>
      <c r="CC196" s="15">
        <v>2486112</v>
      </c>
      <c r="CD196" s="15">
        <v>155547</v>
      </c>
      <c r="CE196" s="15">
        <v>0</v>
      </c>
      <c r="CF196" s="14">
        <f t="shared" si="95"/>
        <v>2747958.6363636362</v>
      </c>
      <c r="CG196" s="18"/>
      <c r="CH196" s="16"/>
      <c r="CI196" s="17"/>
      <c r="CJ196" s="17"/>
    </row>
    <row r="197" spans="1:88" s="13" customFormat="1" x14ac:dyDescent="0.35">
      <c r="A197" s="13">
        <v>1070974458</v>
      </c>
      <c r="B197" s="17" t="s">
        <v>95</v>
      </c>
      <c r="C197" s="17" t="s">
        <v>83</v>
      </c>
      <c r="D197" s="17" t="s">
        <v>286</v>
      </c>
      <c r="E197" s="17">
        <v>6563</v>
      </c>
      <c r="F197" s="17" t="s">
        <v>84</v>
      </c>
      <c r="G197" s="17" t="s">
        <v>85</v>
      </c>
      <c r="H197" s="17">
        <v>1070974458</v>
      </c>
      <c r="I197" s="17" t="s">
        <v>305</v>
      </c>
      <c r="J197" s="17" t="s">
        <v>94</v>
      </c>
      <c r="K197" s="17">
        <v>0</v>
      </c>
      <c r="L197" s="17">
        <v>0</v>
      </c>
      <c r="M197" s="17" t="s">
        <v>96</v>
      </c>
      <c r="N197" s="19">
        <v>45866</v>
      </c>
      <c r="O197" s="19">
        <v>45878</v>
      </c>
      <c r="P197" s="20">
        <v>1423500</v>
      </c>
      <c r="Q197" s="17">
        <v>12</v>
      </c>
      <c r="R197" s="14">
        <f t="shared" si="89"/>
        <v>569400</v>
      </c>
      <c r="S197" s="15">
        <v>80000</v>
      </c>
      <c r="T197" s="15">
        <v>0</v>
      </c>
      <c r="U197" s="7">
        <f t="shared" si="100"/>
        <v>0</v>
      </c>
      <c r="V197" s="15">
        <v>0</v>
      </c>
      <c r="W197" s="7">
        <f t="shared" si="101"/>
        <v>0</v>
      </c>
      <c r="X197" s="15">
        <v>0</v>
      </c>
      <c r="Y197" s="7">
        <f t="shared" si="99"/>
        <v>0</v>
      </c>
      <c r="Z197" s="15">
        <v>0</v>
      </c>
      <c r="AA197" s="7">
        <f t="shared" si="102"/>
        <v>0</v>
      </c>
      <c r="AB197" s="15">
        <v>0</v>
      </c>
      <c r="AC197" s="14">
        <f t="shared" si="103"/>
        <v>0</v>
      </c>
      <c r="AD197" s="14">
        <f t="shared" si="90"/>
        <v>0</v>
      </c>
      <c r="AE197" s="14">
        <f t="shared" si="91"/>
        <v>0</v>
      </c>
      <c r="AF197" s="15">
        <v>5.5</v>
      </c>
      <c r="AG197" s="7">
        <f t="shared" si="104"/>
        <v>64057.5</v>
      </c>
      <c r="AH197" s="15">
        <v>0</v>
      </c>
      <c r="AI197" s="7">
        <f t="shared" si="105"/>
        <v>0</v>
      </c>
      <c r="AJ197" s="15">
        <v>1.25</v>
      </c>
      <c r="AK197" s="14">
        <f t="shared" si="106"/>
        <v>16984.94318181818</v>
      </c>
      <c r="AL197" s="15">
        <v>0</v>
      </c>
      <c r="AM197" s="7">
        <f t="shared" si="107"/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23.9833</v>
      </c>
      <c r="AS197" s="7">
        <f t="shared" si="108"/>
        <v>54313.998374999988</v>
      </c>
      <c r="AT197" s="14">
        <f t="shared" si="92"/>
        <v>30.7333</v>
      </c>
      <c r="AU197" s="14">
        <f t="shared" si="92"/>
        <v>135356.44155681817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11021</v>
      </c>
      <c r="BE197" s="15">
        <v>0</v>
      </c>
      <c r="BF197" s="15">
        <v>0</v>
      </c>
      <c r="BG197" s="15">
        <v>0</v>
      </c>
      <c r="BH197" s="15">
        <v>47450</v>
      </c>
      <c r="BI197" s="15">
        <v>0</v>
      </c>
      <c r="BJ197" s="15">
        <v>0</v>
      </c>
      <c r="BK197" s="15">
        <v>106300</v>
      </c>
      <c r="BL197" s="15">
        <v>0</v>
      </c>
      <c r="BM197" s="15">
        <v>0</v>
      </c>
      <c r="BN197" s="15">
        <v>0</v>
      </c>
      <c r="BO197" s="15">
        <v>0</v>
      </c>
      <c r="BP197" s="15">
        <v>91798</v>
      </c>
      <c r="BQ197" s="15">
        <v>18700</v>
      </c>
      <c r="BR197" s="14">
        <f t="shared" si="93"/>
        <v>110498</v>
      </c>
      <c r="BS197" s="15">
        <v>30600</v>
      </c>
      <c r="BT197" s="15">
        <v>0</v>
      </c>
      <c r="BU197" s="15">
        <v>0</v>
      </c>
      <c r="BV197" s="14">
        <f t="shared" si="94"/>
        <v>30600</v>
      </c>
      <c r="BW197" s="15">
        <v>70300</v>
      </c>
      <c r="BX197" s="15">
        <v>8437</v>
      </c>
      <c r="BY197" s="15">
        <v>70300</v>
      </c>
      <c r="BZ197" s="15">
        <v>30921</v>
      </c>
      <c r="CA197" s="15">
        <v>0</v>
      </c>
      <c r="CB197" s="15">
        <v>179958</v>
      </c>
      <c r="CC197" s="15">
        <v>1164688</v>
      </c>
      <c r="CD197" s="16">
        <v>76665.558443181682</v>
      </c>
      <c r="CE197" s="15">
        <v>0</v>
      </c>
      <c r="CF197" s="14">
        <f t="shared" si="95"/>
        <v>1347249</v>
      </c>
      <c r="CG197" s="18"/>
      <c r="CH197" s="16"/>
      <c r="CI197" s="22"/>
      <c r="CJ197" s="17"/>
    </row>
    <row r="198" spans="1:88" s="13" customFormat="1" x14ac:dyDescent="0.35">
      <c r="A198" s="13">
        <v>1073178497</v>
      </c>
      <c r="B198" s="17" t="s">
        <v>95</v>
      </c>
      <c r="C198" s="17" t="s">
        <v>83</v>
      </c>
      <c r="D198" s="17" t="s">
        <v>286</v>
      </c>
      <c r="E198" s="17">
        <v>6563</v>
      </c>
      <c r="F198" s="17" t="s">
        <v>84</v>
      </c>
      <c r="G198" s="17" t="s">
        <v>85</v>
      </c>
      <c r="H198" s="17">
        <v>1073178497</v>
      </c>
      <c r="I198" s="17" t="s">
        <v>306</v>
      </c>
      <c r="J198" s="17" t="s">
        <v>94</v>
      </c>
      <c r="K198" s="17">
        <v>0</v>
      </c>
      <c r="L198" s="17">
        <v>0</v>
      </c>
      <c r="M198" s="17" t="s">
        <v>96</v>
      </c>
      <c r="N198" s="19">
        <v>45866</v>
      </c>
      <c r="O198" s="19">
        <v>1</v>
      </c>
      <c r="P198" s="20">
        <v>1423500</v>
      </c>
      <c r="Q198" s="17">
        <v>33</v>
      </c>
      <c r="R198" s="14">
        <f t="shared" si="89"/>
        <v>1565850</v>
      </c>
      <c r="S198" s="15">
        <v>220000</v>
      </c>
      <c r="T198" s="15">
        <v>0</v>
      </c>
      <c r="U198" s="7">
        <f t="shared" si="100"/>
        <v>0</v>
      </c>
      <c r="V198" s="15">
        <v>0</v>
      </c>
      <c r="W198" s="7">
        <f t="shared" si="101"/>
        <v>0</v>
      </c>
      <c r="X198" s="15">
        <v>0</v>
      </c>
      <c r="Y198" s="7">
        <f t="shared" si="99"/>
        <v>0</v>
      </c>
      <c r="Z198" s="15">
        <v>0</v>
      </c>
      <c r="AA198" s="7">
        <f t="shared" si="102"/>
        <v>0</v>
      </c>
      <c r="AB198" s="15">
        <v>0</v>
      </c>
      <c r="AC198" s="14">
        <f t="shared" si="103"/>
        <v>0</v>
      </c>
      <c r="AD198" s="14">
        <f t="shared" si="90"/>
        <v>0</v>
      </c>
      <c r="AE198" s="14">
        <f t="shared" si="91"/>
        <v>0</v>
      </c>
      <c r="AF198" s="15">
        <v>0</v>
      </c>
      <c r="AG198" s="7">
        <f t="shared" si="104"/>
        <v>0</v>
      </c>
      <c r="AH198" s="15">
        <v>0</v>
      </c>
      <c r="AI198" s="7">
        <f t="shared" si="105"/>
        <v>0</v>
      </c>
      <c r="AJ198" s="15">
        <v>0</v>
      </c>
      <c r="AK198" s="14">
        <f t="shared" si="106"/>
        <v>0</v>
      </c>
      <c r="AL198" s="15">
        <v>0</v>
      </c>
      <c r="AM198" s="7">
        <f t="shared" si="107"/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7">
        <f t="shared" si="108"/>
        <v>0</v>
      </c>
      <c r="AT198" s="14">
        <f t="shared" si="92"/>
        <v>0</v>
      </c>
      <c r="AU198" s="14">
        <f t="shared" si="92"/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11021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106300</v>
      </c>
      <c r="BL198" s="15">
        <v>0</v>
      </c>
      <c r="BM198" s="15">
        <v>0</v>
      </c>
      <c r="BN198" s="15">
        <v>0</v>
      </c>
      <c r="BO198" s="15">
        <v>0</v>
      </c>
      <c r="BP198" s="15">
        <v>189319</v>
      </c>
      <c r="BQ198" s="15">
        <v>38500</v>
      </c>
      <c r="BR198" s="14">
        <f t="shared" si="93"/>
        <v>227819</v>
      </c>
      <c r="BS198" s="15">
        <v>63100</v>
      </c>
      <c r="BT198" s="15">
        <v>0</v>
      </c>
      <c r="BU198" s="15">
        <v>0</v>
      </c>
      <c r="BV198" s="14">
        <f t="shared" si="94"/>
        <v>63100</v>
      </c>
      <c r="BW198" s="15">
        <v>149734</v>
      </c>
      <c r="BX198" s="15">
        <v>17969</v>
      </c>
      <c r="BY198" s="15">
        <v>149734</v>
      </c>
      <c r="BZ198" s="15">
        <v>68195</v>
      </c>
      <c r="CA198" s="15">
        <v>0</v>
      </c>
      <c r="CB198" s="15">
        <v>385632</v>
      </c>
      <c r="CC198" s="15">
        <v>2473422</v>
      </c>
      <c r="CD198" s="15">
        <v>154785</v>
      </c>
      <c r="CE198" s="15">
        <v>0</v>
      </c>
      <c r="CF198" s="14">
        <f t="shared" si="95"/>
        <v>2734507</v>
      </c>
      <c r="CG198" s="18"/>
      <c r="CH198" s="16"/>
      <c r="CI198" s="17"/>
      <c r="CJ198" s="17"/>
    </row>
    <row r="199" spans="1:88" s="13" customFormat="1" x14ac:dyDescent="0.35">
      <c r="A199" s="13">
        <v>1001198766</v>
      </c>
      <c r="B199" s="17" t="s">
        <v>95</v>
      </c>
      <c r="C199" s="17" t="s">
        <v>83</v>
      </c>
      <c r="D199" s="17" t="s">
        <v>286</v>
      </c>
      <c r="E199" s="17">
        <v>6563</v>
      </c>
      <c r="F199" s="17" t="s">
        <v>84</v>
      </c>
      <c r="G199" s="17" t="s">
        <v>85</v>
      </c>
      <c r="H199" s="17">
        <v>1001198766</v>
      </c>
      <c r="I199" s="17" t="s">
        <v>307</v>
      </c>
      <c r="J199" s="17" t="s">
        <v>94</v>
      </c>
      <c r="K199" s="17">
        <v>0</v>
      </c>
      <c r="L199" s="17">
        <v>0</v>
      </c>
      <c r="M199" s="17" t="s">
        <v>96</v>
      </c>
      <c r="N199" s="19">
        <v>45866</v>
      </c>
      <c r="O199" s="19">
        <v>1</v>
      </c>
      <c r="P199" s="20">
        <v>1423500</v>
      </c>
      <c r="Q199" s="17">
        <v>33</v>
      </c>
      <c r="R199" s="14">
        <f t="shared" si="89"/>
        <v>1565850</v>
      </c>
      <c r="S199" s="15">
        <v>220000</v>
      </c>
      <c r="T199" s="15">
        <v>0</v>
      </c>
      <c r="U199" s="7">
        <f t="shared" si="100"/>
        <v>0</v>
      </c>
      <c r="V199" s="15">
        <v>0</v>
      </c>
      <c r="W199" s="7">
        <f t="shared" si="101"/>
        <v>0</v>
      </c>
      <c r="X199" s="15">
        <v>0</v>
      </c>
      <c r="Y199" s="7">
        <f t="shared" si="99"/>
        <v>0</v>
      </c>
      <c r="Z199" s="15">
        <v>0</v>
      </c>
      <c r="AA199" s="7">
        <f t="shared" si="102"/>
        <v>0</v>
      </c>
      <c r="AB199" s="15">
        <v>0</v>
      </c>
      <c r="AC199" s="14">
        <f t="shared" si="103"/>
        <v>0</v>
      </c>
      <c r="AD199" s="14">
        <f t="shared" si="90"/>
        <v>0</v>
      </c>
      <c r="AE199" s="14">
        <f t="shared" si="91"/>
        <v>0</v>
      </c>
      <c r="AF199" s="15">
        <v>0</v>
      </c>
      <c r="AG199" s="7">
        <f t="shared" si="104"/>
        <v>0</v>
      </c>
      <c r="AH199" s="15">
        <v>0</v>
      </c>
      <c r="AI199" s="7">
        <f t="shared" si="105"/>
        <v>0</v>
      </c>
      <c r="AJ199" s="15">
        <v>0</v>
      </c>
      <c r="AK199" s="14">
        <f t="shared" si="106"/>
        <v>0</v>
      </c>
      <c r="AL199" s="15">
        <v>0</v>
      </c>
      <c r="AM199" s="7">
        <f t="shared" si="107"/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24</v>
      </c>
      <c r="AS199" s="7">
        <f t="shared" si="108"/>
        <v>54351.818181818177</v>
      </c>
      <c r="AT199" s="14">
        <f t="shared" si="92"/>
        <v>24</v>
      </c>
      <c r="AU199" s="14">
        <f t="shared" si="92"/>
        <v>54351.818181818177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11021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106300</v>
      </c>
      <c r="BL199" s="15">
        <v>0</v>
      </c>
      <c r="BM199" s="15">
        <v>0</v>
      </c>
      <c r="BN199" s="15">
        <v>0</v>
      </c>
      <c r="BO199" s="15">
        <v>0</v>
      </c>
      <c r="BP199" s="15">
        <v>195845</v>
      </c>
      <c r="BQ199" s="15">
        <v>39800</v>
      </c>
      <c r="BR199" s="14">
        <f t="shared" si="93"/>
        <v>235645</v>
      </c>
      <c r="BS199" s="15">
        <v>65300</v>
      </c>
      <c r="BT199" s="15">
        <v>0</v>
      </c>
      <c r="BU199" s="15">
        <v>0</v>
      </c>
      <c r="BV199" s="14">
        <f t="shared" si="94"/>
        <v>65300</v>
      </c>
      <c r="BW199" s="15">
        <v>154263</v>
      </c>
      <c r="BX199" s="15">
        <v>18513</v>
      </c>
      <c r="BY199" s="15">
        <v>154263</v>
      </c>
      <c r="BZ199" s="15">
        <v>70553</v>
      </c>
      <c r="CA199" s="15">
        <v>0</v>
      </c>
      <c r="CB199" s="15">
        <v>397592</v>
      </c>
      <c r="CC199" s="15">
        <v>2549760</v>
      </c>
      <c r="CD199" s="15">
        <v>159363</v>
      </c>
      <c r="CE199" s="15">
        <v>0</v>
      </c>
      <c r="CF199" s="14">
        <f t="shared" si="95"/>
        <v>2815422.8181818184</v>
      </c>
      <c r="CG199" s="18"/>
      <c r="CH199" s="16"/>
      <c r="CI199" s="17"/>
      <c r="CJ199" s="17"/>
    </row>
    <row r="200" spans="1:88" s="13" customFormat="1" x14ac:dyDescent="0.35">
      <c r="A200" s="13">
        <v>1073507967</v>
      </c>
      <c r="B200" s="17" t="s">
        <v>95</v>
      </c>
      <c r="C200" s="17" t="s">
        <v>83</v>
      </c>
      <c r="D200" s="17" t="s">
        <v>286</v>
      </c>
      <c r="E200" s="17">
        <v>6563</v>
      </c>
      <c r="F200" s="17" t="s">
        <v>84</v>
      </c>
      <c r="G200" s="17" t="s">
        <v>85</v>
      </c>
      <c r="H200" s="17">
        <v>1073507967</v>
      </c>
      <c r="I200" s="17" t="s">
        <v>308</v>
      </c>
      <c r="J200" s="17" t="s">
        <v>94</v>
      </c>
      <c r="K200" s="17">
        <v>0</v>
      </c>
      <c r="L200" s="17">
        <v>0</v>
      </c>
      <c r="M200" s="17" t="s">
        <v>96</v>
      </c>
      <c r="N200" s="19">
        <v>45866</v>
      </c>
      <c r="O200" s="19">
        <v>1</v>
      </c>
      <c r="P200" s="20">
        <v>1423500</v>
      </c>
      <c r="Q200" s="17">
        <v>33</v>
      </c>
      <c r="R200" s="14">
        <f t="shared" si="89"/>
        <v>1565850</v>
      </c>
      <c r="S200" s="15">
        <v>220000</v>
      </c>
      <c r="T200" s="15">
        <v>0</v>
      </c>
      <c r="U200" s="7">
        <f t="shared" si="100"/>
        <v>0</v>
      </c>
      <c r="V200" s="15">
        <v>0</v>
      </c>
      <c r="W200" s="7">
        <f t="shared" si="101"/>
        <v>0</v>
      </c>
      <c r="X200" s="15">
        <v>0</v>
      </c>
      <c r="Y200" s="7">
        <f t="shared" si="99"/>
        <v>0</v>
      </c>
      <c r="Z200" s="15">
        <v>0</v>
      </c>
      <c r="AA200" s="7">
        <f t="shared" si="102"/>
        <v>0</v>
      </c>
      <c r="AB200" s="15">
        <v>0</v>
      </c>
      <c r="AC200" s="14">
        <f t="shared" si="103"/>
        <v>0</v>
      </c>
      <c r="AD200" s="14">
        <f t="shared" si="90"/>
        <v>0</v>
      </c>
      <c r="AE200" s="14">
        <f t="shared" si="91"/>
        <v>0</v>
      </c>
      <c r="AF200" s="15">
        <v>0</v>
      </c>
      <c r="AG200" s="7">
        <f t="shared" si="104"/>
        <v>0</v>
      </c>
      <c r="AH200" s="15">
        <v>0</v>
      </c>
      <c r="AI200" s="7">
        <f t="shared" si="105"/>
        <v>0</v>
      </c>
      <c r="AJ200" s="15">
        <v>0</v>
      </c>
      <c r="AK200" s="14">
        <f t="shared" si="106"/>
        <v>0</v>
      </c>
      <c r="AL200" s="15">
        <v>0</v>
      </c>
      <c r="AM200" s="7">
        <f t="shared" si="107"/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7">
        <f t="shared" si="108"/>
        <v>0</v>
      </c>
      <c r="AT200" s="14">
        <f t="shared" si="92"/>
        <v>0</v>
      </c>
      <c r="AU200" s="14">
        <f t="shared" si="92"/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11021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106300</v>
      </c>
      <c r="BL200" s="15">
        <v>0</v>
      </c>
      <c r="BM200" s="15">
        <v>0</v>
      </c>
      <c r="BN200" s="15">
        <v>0</v>
      </c>
      <c r="BO200" s="15">
        <v>0</v>
      </c>
      <c r="BP200" s="15">
        <v>189319</v>
      </c>
      <c r="BQ200" s="15">
        <v>38500</v>
      </c>
      <c r="BR200" s="14">
        <f t="shared" si="93"/>
        <v>227819</v>
      </c>
      <c r="BS200" s="15">
        <v>63100</v>
      </c>
      <c r="BT200" s="15">
        <v>0</v>
      </c>
      <c r="BU200" s="15">
        <v>0</v>
      </c>
      <c r="BV200" s="14">
        <f t="shared" si="94"/>
        <v>63100</v>
      </c>
      <c r="BW200" s="15">
        <v>149734</v>
      </c>
      <c r="BX200" s="15">
        <v>17969</v>
      </c>
      <c r="BY200" s="15">
        <v>149734</v>
      </c>
      <c r="BZ200" s="15">
        <v>68195</v>
      </c>
      <c r="CA200" s="15">
        <v>0</v>
      </c>
      <c r="CB200" s="15">
        <v>385632</v>
      </c>
      <c r="CC200" s="15">
        <v>2473422</v>
      </c>
      <c r="CD200" s="15">
        <v>154785</v>
      </c>
      <c r="CE200" s="15">
        <v>0</v>
      </c>
      <c r="CF200" s="14">
        <f t="shared" si="95"/>
        <v>2734507</v>
      </c>
      <c r="CG200" s="18"/>
      <c r="CH200" s="16"/>
      <c r="CI200" s="17"/>
      <c r="CJ200" s="17"/>
    </row>
    <row r="201" spans="1:88" s="13" customFormat="1" x14ac:dyDescent="0.35">
      <c r="A201" s="13">
        <v>1004010776</v>
      </c>
      <c r="B201" s="17" t="s">
        <v>95</v>
      </c>
      <c r="C201" s="17" t="s">
        <v>83</v>
      </c>
      <c r="D201" s="17" t="s">
        <v>286</v>
      </c>
      <c r="E201" s="17">
        <v>6563</v>
      </c>
      <c r="F201" s="17" t="s">
        <v>84</v>
      </c>
      <c r="G201" s="17" t="s">
        <v>85</v>
      </c>
      <c r="H201" s="17">
        <v>1004010776</v>
      </c>
      <c r="I201" s="17" t="s">
        <v>309</v>
      </c>
      <c r="J201" s="17" t="s">
        <v>94</v>
      </c>
      <c r="K201" s="17">
        <v>0</v>
      </c>
      <c r="L201" s="17">
        <v>0</v>
      </c>
      <c r="M201" s="17" t="s">
        <v>96</v>
      </c>
      <c r="N201" s="19">
        <v>45866</v>
      </c>
      <c r="O201" s="19">
        <v>1</v>
      </c>
      <c r="P201" s="20">
        <v>1423500</v>
      </c>
      <c r="Q201" s="17">
        <v>33</v>
      </c>
      <c r="R201" s="14">
        <f t="shared" si="89"/>
        <v>1565850</v>
      </c>
      <c r="S201" s="15">
        <v>220000</v>
      </c>
      <c r="T201" s="15">
        <v>0</v>
      </c>
      <c r="U201" s="7">
        <f t="shared" si="100"/>
        <v>0</v>
      </c>
      <c r="V201" s="15">
        <v>0</v>
      </c>
      <c r="W201" s="7">
        <f t="shared" si="101"/>
        <v>0</v>
      </c>
      <c r="X201" s="15">
        <v>0</v>
      </c>
      <c r="Y201" s="7">
        <f t="shared" si="99"/>
        <v>0</v>
      </c>
      <c r="Z201" s="15">
        <v>0</v>
      </c>
      <c r="AA201" s="7">
        <f t="shared" si="102"/>
        <v>0</v>
      </c>
      <c r="AB201" s="15">
        <v>0</v>
      </c>
      <c r="AC201" s="14">
        <f t="shared" si="103"/>
        <v>0</v>
      </c>
      <c r="AD201" s="14">
        <f t="shared" si="90"/>
        <v>0</v>
      </c>
      <c r="AE201" s="14">
        <f t="shared" si="91"/>
        <v>0</v>
      </c>
      <c r="AF201" s="15">
        <v>0</v>
      </c>
      <c r="AG201" s="7">
        <f t="shared" si="104"/>
        <v>0</v>
      </c>
      <c r="AH201" s="15">
        <v>0</v>
      </c>
      <c r="AI201" s="7">
        <f t="shared" si="105"/>
        <v>0</v>
      </c>
      <c r="AJ201" s="15">
        <v>0</v>
      </c>
      <c r="AK201" s="14">
        <f t="shared" si="106"/>
        <v>0</v>
      </c>
      <c r="AL201" s="15">
        <v>0</v>
      </c>
      <c r="AM201" s="7">
        <f t="shared" si="107"/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4</v>
      </c>
      <c r="AS201" s="7">
        <f t="shared" si="108"/>
        <v>9058.6363636363621</v>
      </c>
      <c r="AT201" s="14">
        <f t="shared" si="92"/>
        <v>4</v>
      </c>
      <c r="AU201" s="14">
        <f t="shared" si="92"/>
        <v>9058.6363636363621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11021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106300</v>
      </c>
      <c r="BL201" s="15">
        <v>0</v>
      </c>
      <c r="BM201" s="15">
        <v>0</v>
      </c>
      <c r="BN201" s="15">
        <v>0</v>
      </c>
      <c r="BO201" s="15">
        <v>0</v>
      </c>
      <c r="BP201" s="15">
        <v>190357</v>
      </c>
      <c r="BQ201" s="15">
        <v>38700</v>
      </c>
      <c r="BR201" s="14">
        <f t="shared" si="93"/>
        <v>229057</v>
      </c>
      <c r="BS201" s="15">
        <v>63500</v>
      </c>
      <c r="BT201" s="15">
        <v>0</v>
      </c>
      <c r="BU201" s="15">
        <v>0</v>
      </c>
      <c r="BV201" s="14">
        <f t="shared" si="94"/>
        <v>63500</v>
      </c>
      <c r="BW201" s="15">
        <v>150489</v>
      </c>
      <c r="BX201" s="15">
        <v>18060</v>
      </c>
      <c r="BY201" s="15">
        <v>150489</v>
      </c>
      <c r="BZ201" s="15">
        <v>68587</v>
      </c>
      <c r="CA201" s="15">
        <v>0</v>
      </c>
      <c r="CB201" s="15">
        <v>387625</v>
      </c>
      <c r="CC201" s="15">
        <v>2486112</v>
      </c>
      <c r="CD201" s="15">
        <v>155547</v>
      </c>
      <c r="CE201" s="15">
        <v>0</v>
      </c>
      <c r="CF201" s="14">
        <f t="shared" si="95"/>
        <v>2747958.6363636362</v>
      </c>
      <c r="CG201" s="18"/>
      <c r="CH201" s="16"/>
      <c r="CI201" s="17"/>
      <c r="CJ201" s="17"/>
    </row>
    <row r="202" spans="1:88" s="13" customFormat="1" x14ac:dyDescent="0.35">
      <c r="A202" s="13">
        <v>1070981340</v>
      </c>
      <c r="B202" s="17" t="s">
        <v>95</v>
      </c>
      <c r="C202" s="17" t="s">
        <v>83</v>
      </c>
      <c r="D202" s="17" t="s">
        <v>286</v>
      </c>
      <c r="E202" s="17">
        <v>6563</v>
      </c>
      <c r="F202" s="17" t="s">
        <v>84</v>
      </c>
      <c r="G202" s="17" t="s">
        <v>85</v>
      </c>
      <c r="H202" s="17">
        <v>1070981340</v>
      </c>
      <c r="I202" s="17" t="s">
        <v>310</v>
      </c>
      <c r="J202" s="17" t="s">
        <v>94</v>
      </c>
      <c r="K202" s="17">
        <v>0</v>
      </c>
      <c r="L202" s="17">
        <v>0</v>
      </c>
      <c r="M202" s="17" t="s">
        <v>96</v>
      </c>
      <c r="N202" s="19">
        <v>45866</v>
      </c>
      <c r="O202" s="19">
        <v>1</v>
      </c>
      <c r="P202" s="20">
        <v>1423500</v>
      </c>
      <c r="Q202" s="17">
        <v>33</v>
      </c>
      <c r="R202" s="14">
        <f t="shared" si="89"/>
        <v>1565850</v>
      </c>
      <c r="S202" s="15">
        <v>220000</v>
      </c>
      <c r="T202" s="15">
        <v>0</v>
      </c>
      <c r="U202" s="7">
        <f t="shared" si="100"/>
        <v>0</v>
      </c>
      <c r="V202" s="15">
        <v>0</v>
      </c>
      <c r="W202" s="7">
        <f t="shared" si="101"/>
        <v>0</v>
      </c>
      <c r="X202" s="15">
        <v>0</v>
      </c>
      <c r="Y202" s="7">
        <f t="shared" si="99"/>
        <v>0</v>
      </c>
      <c r="Z202" s="15">
        <v>0</v>
      </c>
      <c r="AA202" s="7">
        <f t="shared" si="102"/>
        <v>0</v>
      </c>
      <c r="AB202" s="15">
        <v>0</v>
      </c>
      <c r="AC202" s="14">
        <f t="shared" si="103"/>
        <v>0</v>
      </c>
      <c r="AD202" s="14">
        <f t="shared" si="90"/>
        <v>0</v>
      </c>
      <c r="AE202" s="14">
        <f t="shared" si="91"/>
        <v>0</v>
      </c>
      <c r="AF202" s="15">
        <v>0</v>
      </c>
      <c r="AG202" s="7">
        <f t="shared" si="104"/>
        <v>0</v>
      </c>
      <c r="AH202" s="15">
        <v>0</v>
      </c>
      <c r="AI202" s="7">
        <f t="shared" si="105"/>
        <v>0</v>
      </c>
      <c r="AJ202" s="15">
        <v>0</v>
      </c>
      <c r="AK202" s="14">
        <f t="shared" si="106"/>
        <v>0</v>
      </c>
      <c r="AL202" s="15">
        <v>0</v>
      </c>
      <c r="AM202" s="7">
        <f t="shared" si="107"/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24</v>
      </c>
      <c r="AS202" s="7">
        <f t="shared" si="108"/>
        <v>54351.818181818177</v>
      </c>
      <c r="AT202" s="14">
        <f t="shared" si="92"/>
        <v>24</v>
      </c>
      <c r="AU202" s="14">
        <f t="shared" si="92"/>
        <v>54351.818181818177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11021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106300</v>
      </c>
      <c r="BL202" s="15">
        <v>0</v>
      </c>
      <c r="BM202" s="15">
        <v>0</v>
      </c>
      <c r="BN202" s="15">
        <v>0</v>
      </c>
      <c r="BO202" s="15">
        <v>0</v>
      </c>
      <c r="BP202" s="15">
        <v>195845</v>
      </c>
      <c r="BQ202" s="15">
        <v>39800</v>
      </c>
      <c r="BR202" s="14">
        <f t="shared" si="93"/>
        <v>235645</v>
      </c>
      <c r="BS202" s="15">
        <v>65300</v>
      </c>
      <c r="BT202" s="15">
        <v>0</v>
      </c>
      <c r="BU202" s="15">
        <v>0</v>
      </c>
      <c r="BV202" s="14">
        <f t="shared" si="94"/>
        <v>65300</v>
      </c>
      <c r="BW202" s="15">
        <v>154263</v>
      </c>
      <c r="BX202" s="15">
        <v>18513</v>
      </c>
      <c r="BY202" s="15">
        <v>154263</v>
      </c>
      <c r="BZ202" s="15">
        <v>70553</v>
      </c>
      <c r="CA202" s="15">
        <v>0</v>
      </c>
      <c r="CB202" s="15">
        <v>397592</v>
      </c>
      <c r="CC202" s="15">
        <v>2549760</v>
      </c>
      <c r="CD202" s="15">
        <v>159363</v>
      </c>
      <c r="CE202" s="15">
        <v>0</v>
      </c>
      <c r="CF202" s="14">
        <f t="shared" si="95"/>
        <v>2815422.8181818184</v>
      </c>
      <c r="CG202" s="18"/>
      <c r="CH202" s="16"/>
      <c r="CI202" s="17"/>
      <c r="CJ202" s="17"/>
    </row>
    <row r="203" spans="1:88" s="13" customFormat="1" x14ac:dyDescent="0.35">
      <c r="A203" s="13">
        <v>1073164233</v>
      </c>
      <c r="B203" s="17" t="s">
        <v>95</v>
      </c>
      <c r="C203" s="17" t="s">
        <v>83</v>
      </c>
      <c r="D203" s="17" t="s">
        <v>286</v>
      </c>
      <c r="E203" s="17">
        <v>6563</v>
      </c>
      <c r="F203" s="17" t="s">
        <v>84</v>
      </c>
      <c r="G203" s="17" t="s">
        <v>85</v>
      </c>
      <c r="H203" s="17">
        <v>1073164233</v>
      </c>
      <c r="I203" s="17" t="s">
        <v>311</v>
      </c>
      <c r="J203" s="17" t="s">
        <v>94</v>
      </c>
      <c r="K203" s="17">
        <v>0</v>
      </c>
      <c r="L203" s="17">
        <v>0</v>
      </c>
      <c r="M203" s="17" t="s">
        <v>96</v>
      </c>
      <c r="N203" s="19">
        <v>45866</v>
      </c>
      <c r="O203" s="19">
        <v>1</v>
      </c>
      <c r="P203" s="20">
        <v>1423500</v>
      </c>
      <c r="Q203" s="17">
        <v>33</v>
      </c>
      <c r="R203" s="14">
        <f t="shared" si="89"/>
        <v>1565850</v>
      </c>
      <c r="S203" s="15">
        <v>220000</v>
      </c>
      <c r="T203" s="15">
        <v>0</v>
      </c>
      <c r="U203" s="7">
        <f t="shared" si="100"/>
        <v>0</v>
      </c>
      <c r="V203" s="15">
        <v>0</v>
      </c>
      <c r="W203" s="7">
        <f t="shared" si="101"/>
        <v>0</v>
      </c>
      <c r="X203" s="15">
        <v>0</v>
      </c>
      <c r="Y203" s="7">
        <f t="shared" si="99"/>
        <v>0</v>
      </c>
      <c r="Z203" s="15">
        <v>0</v>
      </c>
      <c r="AA203" s="7">
        <f t="shared" si="102"/>
        <v>0</v>
      </c>
      <c r="AB203" s="15">
        <v>0</v>
      </c>
      <c r="AC203" s="14">
        <f t="shared" si="103"/>
        <v>0</v>
      </c>
      <c r="AD203" s="14">
        <f t="shared" si="90"/>
        <v>0</v>
      </c>
      <c r="AE203" s="14">
        <f t="shared" si="91"/>
        <v>0</v>
      </c>
      <c r="AF203" s="15">
        <v>0</v>
      </c>
      <c r="AG203" s="7">
        <f t="shared" si="104"/>
        <v>0</v>
      </c>
      <c r="AH203" s="15">
        <v>0</v>
      </c>
      <c r="AI203" s="7">
        <f t="shared" si="105"/>
        <v>0</v>
      </c>
      <c r="AJ203" s="15">
        <v>0</v>
      </c>
      <c r="AK203" s="14">
        <f t="shared" si="106"/>
        <v>0</v>
      </c>
      <c r="AL203" s="15">
        <v>0</v>
      </c>
      <c r="AM203" s="7">
        <f t="shared" si="107"/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4</v>
      </c>
      <c r="AS203" s="7">
        <f t="shared" si="108"/>
        <v>9058.6363636363621</v>
      </c>
      <c r="AT203" s="14">
        <f t="shared" si="92"/>
        <v>4</v>
      </c>
      <c r="AU203" s="14">
        <f t="shared" si="92"/>
        <v>9058.6363636363621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11021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106300</v>
      </c>
      <c r="BL203" s="15">
        <v>0</v>
      </c>
      <c r="BM203" s="15">
        <v>0</v>
      </c>
      <c r="BN203" s="15">
        <v>0</v>
      </c>
      <c r="BO203" s="15">
        <v>0</v>
      </c>
      <c r="BP203" s="15">
        <v>190353</v>
      </c>
      <c r="BQ203" s="15">
        <v>8400</v>
      </c>
      <c r="BR203" s="14">
        <f t="shared" si="93"/>
        <v>198753</v>
      </c>
      <c r="BS203" s="15">
        <v>63500</v>
      </c>
      <c r="BT203" s="15">
        <v>0</v>
      </c>
      <c r="BU203" s="15">
        <v>0</v>
      </c>
      <c r="BV203" s="14">
        <f t="shared" si="94"/>
        <v>63500</v>
      </c>
      <c r="BW203" s="15">
        <v>150489</v>
      </c>
      <c r="BX203" s="15">
        <v>18060</v>
      </c>
      <c r="BY203" s="15">
        <v>150489</v>
      </c>
      <c r="BZ203" s="15">
        <v>68587</v>
      </c>
      <c r="CA203" s="15">
        <v>0</v>
      </c>
      <c r="CB203" s="15">
        <v>387625</v>
      </c>
      <c r="CC203" s="15">
        <v>2455808</v>
      </c>
      <c r="CD203" s="15">
        <v>153729</v>
      </c>
      <c r="CE203" s="15">
        <v>0</v>
      </c>
      <c r="CF203" s="14">
        <f t="shared" si="95"/>
        <v>2715836.6363636362</v>
      </c>
      <c r="CG203" s="18"/>
      <c r="CH203" s="16"/>
      <c r="CI203" s="17"/>
      <c r="CJ203" s="17"/>
    </row>
    <row r="204" spans="1:88" s="13" customFormat="1" x14ac:dyDescent="0.35">
      <c r="A204" s="13">
        <v>1073427895</v>
      </c>
      <c r="B204" s="17" t="s">
        <v>95</v>
      </c>
      <c r="C204" s="17" t="s">
        <v>83</v>
      </c>
      <c r="D204" s="17" t="s">
        <v>286</v>
      </c>
      <c r="E204" s="17">
        <v>6563</v>
      </c>
      <c r="F204" s="17" t="s">
        <v>84</v>
      </c>
      <c r="G204" s="17" t="s">
        <v>85</v>
      </c>
      <c r="H204" s="17">
        <v>1073427895</v>
      </c>
      <c r="I204" s="17" t="s">
        <v>312</v>
      </c>
      <c r="J204" s="17" t="s">
        <v>94</v>
      </c>
      <c r="K204" s="17">
        <v>0</v>
      </c>
      <c r="L204" s="17">
        <v>0</v>
      </c>
      <c r="M204" s="17" t="s">
        <v>96</v>
      </c>
      <c r="N204" s="19">
        <v>45866</v>
      </c>
      <c r="O204" s="19">
        <v>1</v>
      </c>
      <c r="P204" s="20">
        <v>1423500</v>
      </c>
      <c r="Q204" s="17">
        <v>33</v>
      </c>
      <c r="R204" s="14">
        <f t="shared" si="89"/>
        <v>1565850</v>
      </c>
      <c r="S204" s="15">
        <v>220000</v>
      </c>
      <c r="T204" s="15">
        <v>0</v>
      </c>
      <c r="U204" s="7">
        <f t="shared" si="100"/>
        <v>0</v>
      </c>
      <c r="V204" s="15">
        <v>0</v>
      </c>
      <c r="W204" s="7">
        <f t="shared" si="101"/>
        <v>0</v>
      </c>
      <c r="X204" s="15">
        <v>0</v>
      </c>
      <c r="Y204" s="7">
        <f t="shared" si="99"/>
        <v>0</v>
      </c>
      <c r="Z204" s="15">
        <v>0</v>
      </c>
      <c r="AA204" s="7">
        <f t="shared" si="102"/>
        <v>0</v>
      </c>
      <c r="AB204" s="15">
        <v>0</v>
      </c>
      <c r="AC204" s="14">
        <f t="shared" si="103"/>
        <v>0</v>
      </c>
      <c r="AD204" s="14">
        <f t="shared" si="90"/>
        <v>0</v>
      </c>
      <c r="AE204" s="14">
        <f t="shared" si="91"/>
        <v>0</v>
      </c>
      <c r="AF204" s="15">
        <v>0</v>
      </c>
      <c r="AG204" s="7">
        <f t="shared" si="104"/>
        <v>0</v>
      </c>
      <c r="AH204" s="15">
        <v>0</v>
      </c>
      <c r="AI204" s="7">
        <f t="shared" si="105"/>
        <v>0</v>
      </c>
      <c r="AJ204" s="15">
        <v>0</v>
      </c>
      <c r="AK204" s="14">
        <f t="shared" si="106"/>
        <v>0</v>
      </c>
      <c r="AL204" s="15">
        <v>0</v>
      </c>
      <c r="AM204" s="7">
        <f t="shared" si="107"/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3</v>
      </c>
      <c r="AS204" s="7">
        <f t="shared" si="108"/>
        <v>6793.9772727272721</v>
      </c>
      <c r="AT204" s="14">
        <f t="shared" si="92"/>
        <v>3</v>
      </c>
      <c r="AU204" s="14">
        <f t="shared" si="92"/>
        <v>6793.9772727272721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11021</v>
      </c>
      <c r="BE204" s="15">
        <v>0</v>
      </c>
      <c r="BF204" s="15">
        <v>0</v>
      </c>
      <c r="BG204" s="15">
        <v>0</v>
      </c>
      <c r="BH204" s="15">
        <v>-13333</v>
      </c>
      <c r="BI204" s="15">
        <v>0</v>
      </c>
      <c r="BJ204" s="15">
        <v>0</v>
      </c>
      <c r="BK204" s="15">
        <v>106300</v>
      </c>
      <c r="BL204" s="15">
        <v>0</v>
      </c>
      <c r="BM204" s="15">
        <v>0</v>
      </c>
      <c r="BN204" s="15">
        <v>0</v>
      </c>
      <c r="BO204" s="15">
        <v>0</v>
      </c>
      <c r="BP204" s="15">
        <v>190147</v>
      </c>
      <c r="BQ204" s="15">
        <v>38700</v>
      </c>
      <c r="BR204" s="14">
        <f t="shared" si="93"/>
        <v>228847</v>
      </c>
      <c r="BS204" s="15">
        <v>63400</v>
      </c>
      <c r="BT204" s="15">
        <v>0</v>
      </c>
      <c r="BU204" s="15">
        <v>0</v>
      </c>
      <c r="BV204" s="14">
        <f t="shared" si="94"/>
        <v>63400</v>
      </c>
      <c r="BW204" s="15">
        <v>149189</v>
      </c>
      <c r="BX204" s="15">
        <v>17904</v>
      </c>
      <c r="BY204" s="15">
        <v>149189</v>
      </c>
      <c r="BZ204" s="15">
        <v>68489</v>
      </c>
      <c r="CA204" s="15">
        <v>0</v>
      </c>
      <c r="CB204" s="15">
        <v>384771</v>
      </c>
      <c r="CC204" s="15">
        <v>2467350</v>
      </c>
      <c r="CD204" s="15">
        <v>154420</v>
      </c>
      <c r="CE204" s="15">
        <v>0</v>
      </c>
      <c r="CF204" s="14">
        <f t="shared" si="95"/>
        <v>2728069.9772727275</v>
      </c>
      <c r="CG204" s="18"/>
      <c r="CH204" s="16"/>
      <c r="CI204" s="17"/>
      <c r="CJ204" s="17"/>
    </row>
    <row r="205" spans="1:88" s="13" customFormat="1" x14ac:dyDescent="0.35">
      <c r="A205" s="13">
        <v>1070970427</v>
      </c>
      <c r="B205" s="17" t="s">
        <v>95</v>
      </c>
      <c r="C205" s="17" t="s">
        <v>83</v>
      </c>
      <c r="D205" s="17" t="s">
        <v>286</v>
      </c>
      <c r="E205" s="17">
        <v>6563</v>
      </c>
      <c r="F205" s="17" t="s">
        <v>84</v>
      </c>
      <c r="G205" s="17" t="s">
        <v>85</v>
      </c>
      <c r="H205" s="17">
        <v>1070970427</v>
      </c>
      <c r="I205" s="17" t="s">
        <v>313</v>
      </c>
      <c r="J205" s="17" t="s">
        <v>94</v>
      </c>
      <c r="K205" s="17">
        <v>0</v>
      </c>
      <c r="L205" s="17">
        <v>0</v>
      </c>
      <c r="M205" s="17" t="s">
        <v>96</v>
      </c>
      <c r="N205" s="19">
        <v>45866</v>
      </c>
      <c r="O205" s="19">
        <v>1</v>
      </c>
      <c r="P205" s="20">
        <v>1423500</v>
      </c>
      <c r="Q205" s="17">
        <v>33</v>
      </c>
      <c r="R205" s="14">
        <f t="shared" ref="R205:R217" si="109">+P205/30*Q205</f>
        <v>1565850</v>
      </c>
      <c r="S205" s="15">
        <v>220000</v>
      </c>
      <c r="T205" s="15">
        <v>0</v>
      </c>
      <c r="U205" s="7">
        <f t="shared" si="100"/>
        <v>0</v>
      </c>
      <c r="V205" s="15">
        <v>0</v>
      </c>
      <c r="W205" s="7">
        <f t="shared" si="101"/>
        <v>0</v>
      </c>
      <c r="X205" s="15">
        <v>0</v>
      </c>
      <c r="Y205" s="7">
        <f t="shared" ref="Y205:Y217" si="110">+P205/235*X205*1.75</f>
        <v>0</v>
      </c>
      <c r="Z205" s="15">
        <v>0</v>
      </c>
      <c r="AA205" s="7">
        <f t="shared" si="102"/>
        <v>0</v>
      </c>
      <c r="AB205" s="15">
        <v>0</v>
      </c>
      <c r="AC205" s="14">
        <f t="shared" si="103"/>
        <v>0</v>
      </c>
      <c r="AD205" s="14">
        <f t="shared" ref="AD205:AD217" si="111">+T205+V205+X205+Z205+AB205</f>
        <v>0</v>
      </c>
      <c r="AE205" s="14">
        <f t="shared" ref="AE205:AE217" si="112">+U205+W205+Y205+AA205+AC205</f>
        <v>0</v>
      </c>
      <c r="AF205" s="15">
        <v>0</v>
      </c>
      <c r="AG205" s="7">
        <f t="shared" si="104"/>
        <v>0</v>
      </c>
      <c r="AH205" s="15">
        <v>0</v>
      </c>
      <c r="AI205" s="7">
        <f t="shared" si="105"/>
        <v>0</v>
      </c>
      <c r="AJ205" s="15">
        <v>0</v>
      </c>
      <c r="AK205" s="14">
        <f t="shared" si="106"/>
        <v>0</v>
      </c>
      <c r="AL205" s="15">
        <v>0</v>
      </c>
      <c r="AM205" s="7">
        <f t="shared" si="107"/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30</v>
      </c>
      <c r="AS205" s="7">
        <f t="shared" si="108"/>
        <v>67939.772727272721</v>
      </c>
      <c r="AT205" s="14">
        <f t="shared" ref="AT205:AT217" si="113">+AF205+AH205+AJ205+AL205+AN205+AP205+AR205</f>
        <v>30</v>
      </c>
      <c r="AU205" s="14">
        <f t="shared" ref="AU205:AU217" si="114">+AG205+AI205+AK205+AM205+AO205+AQ205+AS205</f>
        <v>67939.772727272721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11021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106300</v>
      </c>
      <c r="BL205" s="15">
        <v>0</v>
      </c>
      <c r="BM205" s="15">
        <v>0</v>
      </c>
      <c r="BN205" s="15">
        <v>0</v>
      </c>
      <c r="BO205" s="15">
        <v>0</v>
      </c>
      <c r="BP205" s="15">
        <v>197402</v>
      </c>
      <c r="BQ205" s="15">
        <v>40100</v>
      </c>
      <c r="BR205" s="14">
        <f t="shared" ref="BR205:BR217" si="115">+BO205+BP205+BQ205</f>
        <v>237502</v>
      </c>
      <c r="BS205" s="15">
        <v>65800</v>
      </c>
      <c r="BT205" s="15">
        <v>0</v>
      </c>
      <c r="BU205" s="15">
        <v>0</v>
      </c>
      <c r="BV205" s="14">
        <f t="shared" ref="BV205:BV217" si="116">+BS205+BT205+BU205</f>
        <v>65800</v>
      </c>
      <c r="BW205" s="15">
        <v>155395</v>
      </c>
      <c r="BX205" s="15">
        <v>18649</v>
      </c>
      <c r="BY205" s="15">
        <v>155395</v>
      </c>
      <c r="BZ205" s="15">
        <v>71143</v>
      </c>
      <c r="CA205" s="15">
        <v>0</v>
      </c>
      <c r="CB205" s="15">
        <v>400582</v>
      </c>
      <c r="CC205" s="15">
        <v>2568695</v>
      </c>
      <c r="CD205" s="15">
        <v>160499</v>
      </c>
      <c r="CE205" s="15">
        <v>0</v>
      </c>
      <c r="CF205" s="14">
        <f t="shared" ref="CF205:CF217" si="117">+CB205+BV205+BR205+BN205+BM205+BL205+BJ205+BI205+BH205+BF205++BG205+BE205+BD205+BC205+AZ205+AY205+AX205+AW205+AV205+AU205++AE205++S205+R205+CD205+BK205+CA205+CE205</f>
        <v>2835493.7727272725</v>
      </c>
      <c r="CG205" s="18"/>
      <c r="CH205" s="16"/>
      <c r="CI205" s="17"/>
      <c r="CJ205" s="17"/>
    </row>
    <row r="206" spans="1:88" s="13" customFormat="1" x14ac:dyDescent="0.35">
      <c r="A206" s="13">
        <v>1012380898</v>
      </c>
      <c r="B206" s="17" t="s">
        <v>95</v>
      </c>
      <c r="C206" s="17" t="s">
        <v>83</v>
      </c>
      <c r="D206" s="17" t="s">
        <v>286</v>
      </c>
      <c r="E206" s="17">
        <v>6563</v>
      </c>
      <c r="F206" s="17" t="s">
        <v>84</v>
      </c>
      <c r="G206" s="17" t="s">
        <v>85</v>
      </c>
      <c r="H206" s="17">
        <v>1012380898</v>
      </c>
      <c r="I206" s="17" t="s">
        <v>314</v>
      </c>
      <c r="J206" s="17" t="s">
        <v>94</v>
      </c>
      <c r="K206" s="17">
        <v>0</v>
      </c>
      <c r="L206" s="17">
        <v>0</v>
      </c>
      <c r="M206" s="17" t="s">
        <v>96</v>
      </c>
      <c r="N206" s="19">
        <v>45866</v>
      </c>
      <c r="O206" s="19">
        <v>1</v>
      </c>
      <c r="P206" s="20">
        <v>1423500</v>
      </c>
      <c r="Q206" s="17">
        <v>33</v>
      </c>
      <c r="R206" s="14">
        <f t="shared" si="109"/>
        <v>1565850</v>
      </c>
      <c r="S206" s="15">
        <v>220000</v>
      </c>
      <c r="T206" s="15">
        <v>0</v>
      </c>
      <c r="U206" s="7">
        <f t="shared" si="100"/>
        <v>0</v>
      </c>
      <c r="V206" s="15">
        <v>0</v>
      </c>
      <c r="W206" s="7">
        <f t="shared" si="101"/>
        <v>0</v>
      </c>
      <c r="X206" s="15">
        <v>0</v>
      </c>
      <c r="Y206" s="7">
        <f t="shared" si="110"/>
        <v>0</v>
      </c>
      <c r="Z206" s="15">
        <v>0</v>
      </c>
      <c r="AA206" s="7">
        <f t="shared" si="102"/>
        <v>0</v>
      </c>
      <c r="AB206" s="15">
        <v>0</v>
      </c>
      <c r="AC206" s="14">
        <f t="shared" si="103"/>
        <v>0</v>
      </c>
      <c r="AD206" s="14">
        <f t="shared" si="111"/>
        <v>0</v>
      </c>
      <c r="AE206" s="14">
        <f t="shared" si="112"/>
        <v>0</v>
      </c>
      <c r="AF206" s="15">
        <v>0</v>
      </c>
      <c r="AG206" s="7">
        <f t="shared" si="104"/>
        <v>0</v>
      </c>
      <c r="AH206" s="15">
        <v>0</v>
      </c>
      <c r="AI206" s="7">
        <f t="shared" si="105"/>
        <v>0</v>
      </c>
      <c r="AJ206" s="15">
        <v>0</v>
      </c>
      <c r="AK206" s="14">
        <f t="shared" si="106"/>
        <v>0</v>
      </c>
      <c r="AL206" s="15">
        <v>0</v>
      </c>
      <c r="AM206" s="7">
        <f t="shared" si="107"/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7">
        <f t="shared" si="108"/>
        <v>0</v>
      </c>
      <c r="AT206" s="14">
        <f t="shared" si="113"/>
        <v>0</v>
      </c>
      <c r="AU206" s="14">
        <f t="shared" si="114"/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11021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106300</v>
      </c>
      <c r="BL206" s="15">
        <v>0</v>
      </c>
      <c r="BM206" s="15">
        <v>0</v>
      </c>
      <c r="BN206" s="15">
        <v>0</v>
      </c>
      <c r="BO206" s="15">
        <v>0</v>
      </c>
      <c r="BP206" s="15">
        <v>189319</v>
      </c>
      <c r="BQ206" s="15">
        <v>8300</v>
      </c>
      <c r="BR206" s="14">
        <f t="shared" si="115"/>
        <v>197619</v>
      </c>
      <c r="BS206" s="15">
        <v>63100</v>
      </c>
      <c r="BT206" s="15">
        <v>0</v>
      </c>
      <c r="BU206" s="15">
        <v>0</v>
      </c>
      <c r="BV206" s="14">
        <f t="shared" si="116"/>
        <v>63100</v>
      </c>
      <c r="BW206" s="15">
        <v>149734</v>
      </c>
      <c r="BX206" s="15">
        <v>17969</v>
      </c>
      <c r="BY206" s="15">
        <v>149734</v>
      </c>
      <c r="BZ206" s="15">
        <v>68195</v>
      </c>
      <c r="CA206" s="15">
        <v>0</v>
      </c>
      <c r="CB206" s="15">
        <v>385632</v>
      </c>
      <c r="CC206" s="15">
        <v>2443222</v>
      </c>
      <c r="CD206" s="15">
        <v>152973</v>
      </c>
      <c r="CE206" s="15">
        <v>0</v>
      </c>
      <c r="CF206" s="14">
        <f t="shared" si="117"/>
        <v>2702495</v>
      </c>
      <c r="CG206" s="18"/>
      <c r="CH206" s="16"/>
      <c r="CI206" s="17"/>
      <c r="CJ206" s="17"/>
    </row>
    <row r="207" spans="1:88" s="13" customFormat="1" x14ac:dyDescent="0.35">
      <c r="A207" s="13">
        <v>1007668681</v>
      </c>
      <c r="B207" s="17" t="s">
        <v>95</v>
      </c>
      <c r="C207" s="17" t="s">
        <v>83</v>
      </c>
      <c r="D207" s="17" t="s">
        <v>286</v>
      </c>
      <c r="E207" s="17">
        <v>6563</v>
      </c>
      <c r="F207" s="17" t="s">
        <v>84</v>
      </c>
      <c r="G207" s="17" t="s">
        <v>85</v>
      </c>
      <c r="H207" s="17">
        <v>1007668681</v>
      </c>
      <c r="I207" s="17" t="s">
        <v>315</v>
      </c>
      <c r="J207" s="17" t="s">
        <v>94</v>
      </c>
      <c r="K207" s="17">
        <v>0</v>
      </c>
      <c r="L207" s="17">
        <v>0</v>
      </c>
      <c r="M207" s="17" t="s">
        <v>96</v>
      </c>
      <c r="N207" s="19">
        <v>45866</v>
      </c>
      <c r="O207" s="19">
        <v>1</v>
      </c>
      <c r="P207" s="20">
        <v>1423500</v>
      </c>
      <c r="Q207" s="17">
        <v>33</v>
      </c>
      <c r="R207" s="14">
        <f t="shared" si="109"/>
        <v>1565850</v>
      </c>
      <c r="S207" s="15">
        <v>220000</v>
      </c>
      <c r="T207" s="15">
        <v>0</v>
      </c>
      <c r="U207" s="7">
        <f t="shared" si="100"/>
        <v>0</v>
      </c>
      <c r="V207" s="15">
        <v>0</v>
      </c>
      <c r="W207" s="7">
        <f t="shared" si="101"/>
        <v>0</v>
      </c>
      <c r="X207" s="15">
        <v>0</v>
      </c>
      <c r="Y207" s="7">
        <f t="shared" si="110"/>
        <v>0</v>
      </c>
      <c r="Z207" s="15">
        <v>0</v>
      </c>
      <c r="AA207" s="7">
        <f t="shared" si="102"/>
        <v>0</v>
      </c>
      <c r="AB207" s="15">
        <v>0</v>
      </c>
      <c r="AC207" s="14">
        <f t="shared" si="103"/>
        <v>0</v>
      </c>
      <c r="AD207" s="14">
        <f t="shared" si="111"/>
        <v>0</v>
      </c>
      <c r="AE207" s="14">
        <f t="shared" si="112"/>
        <v>0</v>
      </c>
      <c r="AF207" s="15">
        <v>0</v>
      </c>
      <c r="AG207" s="7">
        <f t="shared" si="104"/>
        <v>0</v>
      </c>
      <c r="AH207" s="15">
        <v>0</v>
      </c>
      <c r="AI207" s="7">
        <f t="shared" si="105"/>
        <v>0</v>
      </c>
      <c r="AJ207" s="15">
        <v>0</v>
      </c>
      <c r="AK207" s="14">
        <f t="shared" si="106"/>
        <v>0</v>
      </c>
      <c r="AL207" s="15">
        <v>0</v>
      </c>
      <c r="AM207" s="7">
        <f t="shared" si="107"/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7">
        <f t="shared" si="108"/>
        <v>0</v>
      </c>
      <c r="AT207" s="14">
        <f t="shared" si="113"/>
        <v>0</v>
      </c>
      <c r="AU207" s="14">
        <f t="shared" si="114"/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11021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106300</v>
      </c>
      <c r="BL207" s="15">
        <v>0</v>
      </c>
      <c r="BM207" s="15">
        <v>0</v>
      </c>
      <c r="BN207" s="15">
        <v>0</v>
      </c>
      <c r="BO207" s="15">
        <v>0</v>
      </c>
      <c r="BP207" s="15">
        <v>189319</v>
      </c>
      <c r="BQ207" s="15">
        <v>38500</v>
      </c>
      <c r="BR207" s="14">
        <f t="shared" si="115"/>
        <v>227819</v>
      </c>
      <c r="BS207" s="15">
        <v>63100</v>
      </c>
      <c r="BT207" s="15">
        <v>0</v>
      </c>
      <c r="BU207" s="15">
        <v>0</v>
      </c>
      <c r="BV207" s="14">
        <f t="shared" si="116"/>
        <v>63100</v>
      </c>
      <c r="BW207" s="15">
        <v>149734</v>
      </c>
      <c r="BX207" s="15">
        <v>17969</v>
      </c>
      <c r="BY207" s="15">
        <v>149734</v>
      </c>
      <c r="BZ207" s="15">
        <v>68195</v>
      </c>
      <c r="CA207" s="15">
        <v>0</v>
      </c>
      <c r="CB207" s="15">
        <v>385632</v>
      </c>
      <c r="CC207" s="15">
        <v>2473422</v>
      </c>
      <c r="CD207" s="15">
        <v>154785</v>
      </c>
      <c r="CE207" s="15">
        <v>0</v>
      </c>
      <c r="CF207" s="14">
        <f t="shared" si="117"/>
        <v>2734507</v>
      </c>
      <c r="CG207" s="18"/>
      <c r="CH207" s="16"/>
      <c r="CI207" s="17"/>
      <c r="CJ207" s="17"/>
    </row>
    <row r="208" spans="1:88" s="13" customFormat="1" x14ac:dyDescent="0.35">
      <c r="A208" s="13">
        <v>1070987545</v>
      </c>
      <c r="B208" s="17" t="s">
        <v>95</v>
      </c>
      <c r="C208" s="17" t="s">
        <v>83</v>
      </c>
      <c r="D208" s="17" t="s">
        <v>286</v>
      </c>
      <c r="E208" s="17">
        <v>6563</v>
      </c>
      <c r="F208" s="17" t="s">
        <v>84</v>
      </c>
      <c r="G208" s="17" t="s">
        <v>85</v>
      </c>
      <c r="H208" s="17">
        <v>1070987545</v>
      </c>
      <c r="I208" s="17" t="s">
        <v>316</v>
      </c>
      <c r="J208" s="17" t="s">
        <v>94</v>
      </c>
      <c r="K208" s="17">
        <v>0</v>
      </c>
      <c r="L208" s="17">
        <v>0</v>
      </c>
      <c r="M208" s="17" t="s">
        <v>96</v>
      </c>
      <c r="N208" s="19">
        <v>45866</v>
      </c>
      <c r="O208" s="19">
        <v>1</v>
      </c>
      <c r="P208" s="20">
        <v>1423500</v>
      </c>
      <c r="Q208" s="17">
        <v>33</v>
      </c>
      <c r="R208" s="14">
        <f t="shared" si="109"/>
        <v>1565850</v>
      </c>
      <c r="S208" s="15">
        <v>220000</v>
      </c>
      <c r="T208" s="15">
        <v>0</v>
      </c>
      <c r="U208" s="7">
        <f t="shared" si="100"/>
        <v>0</v>
      </c>
      <c r="V208" s="15">
        <v>0</v>
      </c>
      <c r="W208" s="7">
        <f t="shared" si="101"/>
        <v>0</v>
      </c>
      <c r="X208" s="15">
        <v>0</v>
      </c>
      <c r="Y208" s="7">
        <f t="shared" si="110"/>
        <v>0</v>
      </c>
      <c r="Z208" s="15">
        <v>0</v>
      </c>
      <c r="AA208" s="7">
        <f t="shared" si="102"/>
        <v>0</v>
      </c>
      <c r="AB208" s="15">
        <v>0</v>
      </c>
      <c r="AC208" s="14">
        <f t="shared" si="103"/>
        <v>0</v>
      </c>
      <c r="AD208" s="14">
        <f t="shared" si="111"/>
        <v>0</v>
      </c>
      <c r="AE208" s="14">
        <f t="shared" si="112"/>
        <v>0</v>
      </c>
      <c r="AF208" s="15">
        <v>0</v>
      </c>
      <c r="AG208" s="7">
        <f t="shared" si="104"/>
        <v>0</v>
      </c>
      <c r="AH208" s="15">
        <v>0</v>
      </c>
      <c r="AI208" s="7">
        <f t="shared" si="105"/>
        <v>0</v>
      </c>
      <c r="AJ208" s="15">
        <v>0</v>
      </c>
      <c r="AK208" s="14">
        <f t="shared" si="106"/>
        <v>0</v>
      </c>
      <c r="AL208" s="15">
        <v>0</v>
      </c>
      <c r="AM208" s="7">
        <f t="shared" si="107"/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7">
        <f t="shared" si="108"/>
        <v>0</v>
      </c>
      <c r="AT208" s="14">
        <f t="shared" si="113"/>
        <v>0</v>
      </c>
      <c r="AU208" s="14">
        <f t="shared" si="114"/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11021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106300</v>
      </c>
      <c r="BL208" s="15">
        <v>0</v>
      </c>
      <c r="BM208" s="15">
        <v>0</v>
      </c>
      <c r="BN208" s="15">
        <v>0</v>
      </c>
      <c r="BO208" s="15">
        <v>0</v>
      </c>
      <c r="BP208" s="15">
        <v>189319</v>
      </c>
      <c r="BQ208" s="15">
        <v>38500</v>
      </c>
      <c r="BR208" s="14">
        <f t="shared" si="115"/>
        <v>227819</v>
      </c>
      <c r="BS208" s="15">
        <v>63100</v>
      </c>
      <c r="BT208" s="15">
        <v>0</v>
      </c>
      <c r="BU208" s="15">
        <v>0</v>
      </c>
      <c r="BV208" s="14">
        <f t="shared" si="116"/>
        <v>63100</v>
      </c>
      <c r="BW208" s="15">
        <v>149734</v>
      </c>
      <c r="BX208" s="15">
        <v>17969</v>
      </c>
      <c r="BY208" s="15">
        <v>149734</v>
      </c>
      <c r="BZ208" s="15">
        <v>68195</v>
      </c>
      <c r="CA208" s="15">
        <v>0</v>
      </c>
      <c r="CB208" s="15">
        <v>385632</v>
      </c>
      <c r="CC208" s="15">
        <v>2473422</v>
      </c>
      <c r="CD208" s="15">
        <v>154785</v>
      </c>
      <c r="CE208" s="15">
        <v>0</v>
      </c>
      <c r="CF208" s="14">
        <f t="shared" si="117"/>
        <v>2734507</v>
      </c>
      <c r="CG208" s="18"/>
      <c r="CH208" s="16"/>
      <c r="CI208" s="17"/>
      <c r="CJ208" s="17"/>
    </row>
    <row r="209" spans="1:88" s="13" customFormat="1" x14ac:dyDescent="0.35">
      <c r="A209" s="13">
        <v>1143151476</v>
      </c>
      <c r="B209" s="17" t="s">
        <v>95</v>
      </c>
      <c r="C209" s="17" t="s">
        <v>83</v>
      </c>
      <c r="D209" s="17" t="s">
        <v>286</v>
      </c>
      <c r="E209" s="17">
        <v>6563</v>
      </c>
      <c r="F209" s="17" t="s">
        <v>84</v>
      </c>
      <c r="G209" s="17" t="s">
        <v>85</v>
      </c>
      <c r="H209" s="17">
        <v>1143151476</v>
      </c>
      <c r="I209" s="17" t="s">
        <v>317</v>
      </c>
      <c r="J209" s="17" t="s">
        <v>94</v>
      </c>
      <c r="K209" s="17">
        <v>0</v>
      </c>
      <c r="L209" s="17">
        <v>0</v>
      </c>
      <c r="M209" s="17" t="s">
        <v>96</v>
      </c>
      <c r="N209" s="19">
        <v>45866</v>
      </c>
      <c r="O209" s="19">
        <v>1</v>
      </c>
      <c r="P209" s="20">
        <v>1423500</v>
      </c>
      <c r="Q209" s="17">
        <v>33</v>
      </c>
      <c r="R209" s="14">
        <f t="shared" si="109"/>
        <v>1565850</v>
      </c>
      <c r="S209" s="15">
        <v>220000</v>
      </c>
      <c r="T209" s="15">
        <v>0</v>
      </c>
      <c r="U209" s="7">
        <f t="shared" si="100"/>
        <v>0</v>
      </c>
      <c r="V209" s="15">
        <v>0</v>
      </c>
      <c r="W209" s="7">
        <f t="shared" si="101"/>
        <v>0</v>
      </c>
      <c r="X209" s="15">
        <v>0</v>
      </c>
      <c r="Y209" s="7">
        <f t="shared" si="110"/>
        <v>0</v>
      </c>
      <c r="Z209" s="15">
        <v>0</v>
      </c>
      <c r="AA209" s="7">
        <f t="shared" si="102"/>
        <v>0</v>
      </c>
      <c r="AB209" s="15">
        <v>0</v>
      </c>
      <c r="AC209" s="14">
        <f t="shared" si="103"/>
        <v>0</v>
      </c>
      <c r="AD209" s="14">
        <f t="shared" si="111"/>
        <v>0</v>
      </c>
      <c r="AE209" s="14">
        <f t="shared" si="112"/>
        <v>0</v>
      </c>
      <c r="AF209" s="15">
        <v>0</v>
      </c>
      <c r="AG209" s="7">
        <f t="shared" si="104"/>
        <v>0</v>
      </c>
      <c r="AH209" s="15">
        <v>0</v>
      </c>
      <c r="AI209" s="7">
        <f t="shared" si="105"/>
        <v>0</v>
      </c>
      <c r="AJ209" s="15">
        <v>0</v>
      </c>
      <c r="AK209" s="14">
        <f t="shared" si="106"/>
        <v>0</v>
      </c>
      <c r="AL209" s="15">
        <v>0</v>
      </c>
      <c r="AM209" s="7">
        <f t="shared" si="107"/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7">
        <f t="shared" si="108"/>
        <v>0</v>
      </c>
      <c r="AT209" s="14">
        <f t="shared" si="113"/>
        <v>0</v>
      </c>
      <c r="AU209" s="14">
        <f t="shared" si="114"/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11021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106300</v>
      </c>
      <c r="BL209" s="15">
        <v>0</v>
      </c>
      <c r="BM209" s="15">
        <v>0</v>
      </c>
      <c r="BN209" s="15">
        <v>0</v>
      </c>
      <c r="BO209" s="15">
        <v>0</v>
      </c>
      <c r="BP209" s="15">
        <v>189319</v>
      </c>
      <c r="BQ209" s="15">
        <v>38500</v>
      </c>
      <c r="BR209" s="14">
        <f t="shared" si="115"/>
        <v>227819</v>
      </c>
      <c r="BS209" s="15">
        <v>63100</v>
      </c>
      <c r="BT209" s="15">
        <v>0</v>
      </c>
      <c r="BU209" s="15">
        <v>0</v>
      </c>
      <c r="BV209" s="14">
        <f t="shared" si="116"/>
        <v>63100</v>
      </c>
      <c r="BW209" s="15">
        <v>149734</v>
      </c>
      <c r="BX209" s="15">
        <v>17969</v>
      </c>
      <c r="BY209" s="15">
        <v>149734</v>
      </c>
      <c r="BZ209" s="15">
        <v>68195</v>
      </c>
      <c r="CA209" s="15">
        <v>0</v>
      </c>
      <c r="CB209" s="15">
        <v>385632</v>
      </c>
      <c r="CC209" s="15">
        <v>2473422</v>
      </c>
      <c r="CD209" s="15">
        <v>154785</v>
      </c>
      <c r="CE209" s="15">
        <v>0</v>
      </c>
      <c r="CF209" s="14">
        <f t="shared" si="117"/>
        <v>2734507</v>
      </c>
      <c r="CG209" s="18"/>
      <c r="CH209" s="16"/>
      <c r="CI209" s="17"/>
      <c r="CJ209" s="17"/>
    </row>
    <row r="210" spans="1:88" s="13" customFormat="1" x14ac:dyDescent="0.35">
      <c r="A210" s="13">
        <v>1007535063</v>
      </c>
      <c r="B210" s="17" t="s">
        <v>95</v>
      </c>
      <c r="C210" s="17" t="s">
        <v>83</v>
      </c>
      <c r="D210" s="17" t="s">
        <v>286</v>
      </c>
      <c r="E210" s="17">
        <v>6563</v>
      </c>
      <c r="F210" s="17" t="s">
        <v>84</v>
      </c>
      <c r="G210" s="17" t="s">
        <v>85</v>
      </c>
      <c r="H210" s="17">
        <v>1007535063</v>
      </c>
      <c r="I210" s="17" t="s">
        <v>318</v>
      </c>
      <c r="J210" s="17" t="s">
        <v>94</v>
      </c>
      <c r="K210" s="17">
        <v>0</v>
      </c>
      <c r="L210" s="17">
        <v>0</v>
      </c>
      <c r="M210" s="17" t="s">
        <v>96</v>
      </c>
      <c r="N210" s="19">
        <v>45866</v>
      </c>
      <c r="O210" s="19">
        <v>1</v>
      </c>
      <c r="P210" s="20">
        <v>1423500</v>
      </c>
      <c r="Q210" s="17">
        <v>33</v>
      </c>
      <c r="R210" s="14">
        <f t="shared" si="109"/>
        <v>1565850</v>
      </c>
      <c r="S210" s="15">
        <v>220000</v>
      </c>
      <c r="T210" s="15">
        <v>0</v>
      </c>
      <c r="U210" s="7">
        <f t="shared" si="100"/>
        <v>0</v>
      </c>
      <c r="V210" s="15">
        <v>0</v>
      </c>
      <c r="W210" s="7">
        <f t="shared" si="101"/>
        <v>0</v>
      </c>
      <c r="X210" s="15">
        <v>0</v>
      </c>
      <c r="Y210" s="7">
        <f t="shared" si="110"/>
        <v>0</v>
      </c>
      <c r="Z210" s="15">
        <v>0</v>
      </c>
      <c r="AA210" s="7">
        <f t="shared" si="102"/>
        <v>0</v>
      </c>
      <c r="AB210" s="15">
        <v>0</v>
      </c>
      <c r="AC210" s="14">
        <f t="shared" si="103"/>
        <v>0</v>
      </c>
      <c r="AD210" s="14">
        <f t="shared" si="111"/>
        <v>0</v>
      </c>
      <c r="AE210" s="14">
        <f t="shared" si="112"/>
        <v>0</v>
      </c>
      <c r="AF210" s="15">
        <v>0</v>
      </c>
      <c r="AG210" s="7">
        <f t="shared" si="104"/>
        <v>0</v>
      </c>
      <c r="AH210" s="15">
        <v>0</v>
      </c>
      <c r="AI210" s="7">
        <f t="shared" si="105"/>
        <v>0</v>
      </c>
      <c r="AJ210" s="15">
        <v>0</v>
      </c>
      <c r="AK210" s="14">
        <f t="shared" si="106"/>
        <v>0</v>
      </c>
      <c r="AL210" s="15">
        <v>0</v>
      </c>
      <c r="AM210" s="7">
        <f t="shared" si="107"/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7">
        <f t="shared" si="108"/>
        <v>0</v>
      </c>
      <c r="AT210" s="14">
        <f t="shared" si="113"/>
        <v>0</v>
      </c>
      <c r="AU210" s="14">
        <f t="shared" si="114"/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11021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106300</v>
      </c>
      <c r="BL210" s="15">
        <v>0</v>
      </c>
      <c r="BM210" s="15">
        <v>0</v>
      </c>
      <c r="BN210" s="15">
        <v>0</v>
      </c>
      <c r="BO210" s="15">
        <v>0</v>
      </c>
      <c r="BP210" s="15">
        <v>189319</v>
      </c>
      <c r="BQ210" s="15">
        <v>38500</v>
      </c>
      <c r="BR210" s="14">
        <f t="shared" si="115"/>
        <v>227819</v>
      </c>
      <c r="BS210" s="15">
        <v>63100</v>
      </c>
      <c r="BT210" s="15">
        <v>0</v>
      </c>
      <c r="BU210" s="15">
        <v>0</v>
      </c>
      <c r="BV210" s="14">
        <f t="shared" si="116"/>
        <v>63100</v>
      </c>
      <c r="BW210" s="15">
        <v>149734</v>
      </c>
      <c r="BX210" s="15">
        <v>17969</v>
      </c>
      <c r="BY210" s="15">
        <v>149734</v>
      </c>
      <c r="BZ210" s="15">
        <v>68195</v>
      </c>
      <c r="CA210" s="15">
        <v>0</v>
      </c>
      <c r="CB210" s="15">
        <v>385632</v>
      </c>
      <c r="CC210" s="15">
        <v>2473422</v>
      </c>
      <c r="CD210" s="15">
        <v>154785</v>
      </c>
      <c r="CE210" s="15">
        <v>0</v>
      </c>
      <c r="CF210" s="14">
        <f t="shared" si="117"/>
        <v>2734507</v>
      </c>
      <c r="CG210" s="18"/>
      <c r="CH210" s="16"/>
      <c r="CI210" s="17"/>
      <c r="CJ210" s="17"/>
    </row>
    <row r="211" spans="1:88" s="13" customFormat="1" x14ac:dyDescent="0.35">
      <c r="A211" s="13">
        <v>1070750159</v>
      </c>
      <c r="B211" s="17" t="s">
        <v>95</v>
      </c>
      <c r="C211" s="17" t="s">
        <v>83</v>
      </c>
      <c r="D211" s="17" t="s">
        <v>286</v>
      </c>
      <c r="E211" s="17">
        <v>6563</v>
      </c>
      <c r="F211" s="17" t="s">
        <v>84</v>
      </c>
      <c r="G211" s="17" t="s">
        <v>85</v>
      </c>
      <c r="H211" s="17">
        <v>1070750159</v>
      </c>
      <c r="I211" s="17" t="s">
        <v>319</v>
      </c>
      <c r="J211" s="17" t="s">
        <v>94</v>
      </c>
      <c r="K211" s="17">
        <v>0</v>
      </c>
      <c r="L211" s="17">
        <v>0</v>
      </c>
      <c r="M211" s="17" t="s">
        <v>96</v>
      </c>
      <c r="N211" s="19">
        <v>45866</v>
      </c>
      <c r="O211" s="19">
        <v>1</v>
      </c>
      <c r="P211" s="20">
        <v>1423500</v>
      </c>
      <c r="Q211" s="17">
        <v>33</v>
      </c>
      <c r="R211" s="14">
        <f t="shared" si="109"/>
        <v>1565850</v>
      </c>
      <c r="S211" s="15">
        <v>220000</v>
      </c>
      <c r="T211" s="15">
        <v>0</v>
      </c>
      <c r="U211" s="7">
        <f t="shared" si="100"/>
        <v>0</v>
      </c>
      <c r="V211" s="15">
        <v>0</v>
      </c>
      <c r="W211" s="7">
        <f t="shared" si="101"/>
        <v>0</v>
      </c>
      <c r="X211" s="15">
        <v>0</v>
      </c>
      <c r="Y211" s="7">
        <f t="shared" si="110"/>
        <v>0</v>
      </c>
      <c r="Z211" s="15">
        <v>0</v>
      </c>
      <c r="AA211" s="7">
        <f t="shared" si="102"/>
        <v>0</v>
      </c>
      <c r="AB211" s="15">
        <v>0</v>
      </c>
      <c r="AC211" s="14">
        <f t="shared" si="103"/>
        <v>0</v>
      </c>
      <c r="AD211" s="14">
        <f t="shared" si="111"/>
        <v>0</v>
      </c>
      <c r="AE211" s="14">
        <f t="shared" si="112"/>
        <v>0</v>
      </c>
      <c r="AF211" s="15">
        <v>0</v>
      </c>
      <c r="AG211" s="7">
        <f t="shared" si="104"/>
        <v>0</v>
      </c>
      <c r="AH211" s="15">
        <v>0</v>
      </c>
      <c r="AI211" s="7">
        <f t="shared" si="105"/>
        <v>0</v>
      </c>
      <c r="AJ211" s="15">
        <v>0</v>
      </c>
      <c r="AK211" s="14">
        <f t="shared" si="106"/>
        <v>0</v>
      </c>
      <c r="AL211" s="15">
        <v>0</v>
      </c>
      <c r="AM211" s="7">
        <f t="shared" si="107"/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7">
        <f t="shared" si="108"/>
        <v>0</v>
      </c>
      <c r="AT211" s="14">
        <f t="shared" si="113"/>
        <v>0</v>
      </c>
      <c r="AU211" s="14">
        <f t="shared" si="114"/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11021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106300</v>
      </c>
      <c r="BL211" s="15">
        <v>0</v>
      </c>
      <c r="BM211" s="15">
        <v>0</v>
      </c>
      <c r="BN211" s="15">
        <v>0</v>
      </c>
      <c r="BO211" s="15">
        <v>0</v>
      </c>
      <c r="BP211" s="15">
        <v>189319</v>
      </c>
      <c r="BQ211" s="15">
        <v>8300</v>
      </c>
      <c r="BR211" s="14">
        <f t="shared" si="115"/>
        <v>197619</v>
      </c>
      <c r="BS211" s="15">
        <v>63100</v>
      </c>
      <c r="BT211" s="15">
        <v>0</v>
      </c>
      <c r="BU211" s="15">
        <v>0</v>
      </c>
      <c r="BV211" s="14">
        <f t="shared" si="116"/>
        <v>63100</v>
      </c>
      <c r="BW211" s="15">
        <v>149734</v>
      </c>
      <c r="BX211" s="15">
        <v>17969</v>
      </c>
      <c r="BY211" s="15">
        <v>149734</v>
      </c>
      <c r="BZ211" s="15">
        <v>68195</v>
      </c>
      <c r="CA211" s="15">
        <v>0</v>
      </c>
      <c r="CB211" s="15">
        <v>385632</v>
      </c>
      <c r="CC211" s="15">
        <v>2443222</v>
      </c>
      <c r="CD211" s="15">
        <v>152973</v>
      </c>
      <c r="CE211" s="15">
        <v>0</v>
      </c>
      <c r="CF211" s="14">
        <f t="shared" si="117"/>
        <v>2702495</v>
      </c>
      <c r="CG211" s="18"/>
      <c r="CH211" s="16"/>
      <c r="CI211" s="17"/>
      <c r="CJ211" s="17"/>
    </row>
    <row r="212" spans="1:88" s="13" customFormat="1" x14ac:dyDescent="0.35">
      <c r="A212" s="13">
        <v>1067096141</v>
      </c>
      <c r="B212" s="17" t="s">
        <v>95</v>
      </c>
      <c r="C212" s="17" t="s">
        <v>83</v>
      </c>
      <c r="D212" s="17" t="s">
        <v>286</v>
      </c>
      <c r="E212" s="17">
        <v>6563</v>
      </c>
      <c r="F212" s="17" t="s">
        <v>84</v>
      </c>
      <c r="G212" s="17" t="s">
        <v>85</v>
      </c>
      <c r="H212" s="17">
        <v>1067096141</v>
      </c>
      <c r="I212" s="17" t="s">
        <v>320</v>
      </c>
      <c r="J212" s="17" t="s">
        <v>94</v>
      </c>
      <c r="K212" s="17">
        <v>0</v>
      </c>
      <c r="L212" s="17">
        <v>0</v>
      </c>
      <c r="M212" s="17" t="s">
        <v>96</v>
      </c>
      <c r="N212" s="19">
        <v>45867</v>
      </c>
      <c r="O212" s="19">
        <v>1</v>
      </c>
      <c r="P212" s="20">
        <v>1423500</v>
      </c>
      <c r="Q212" s="17">
        <v>32</v>
      </c>
      <c r="R212" s="14">
        <f t="shared" si="109"/>
        <v>1518400</v>
      </c>
      <c r="S212" s="15">
        <v>213333</v>
      </c>
      <c r="T212" s="15">
        <v>0</v>
      </c>
      <c r="U212" s="7">
        <f t="shared" si="100"/>
        <v>0</v>
      </c>
      <c r="V212" s="15">
        <v>0</v>
      </c>
      <c r="W212" s="7">
        <f t="shared" si="101"/>
        <v>0</v>
      </c>
      <c r="X212" s="15">
        <v>0</v>
      </c>
      <c r="Y212" s="7">
        <f t="shared" si="110"/>
        <v>0</v>
      </c>
      <c r="Z212" s="15">
        <v>0</v>
      </c>
      <c r="AA212" s="7">
        <f t="shared" si="102"/>
        <v>0</v>
      </c>
      <c r="AB212" s="15">
        <v>0</v>
      </c>
      <c r="AC212" s="14">
        <f t="shared" si="103"/>
        <v>0</v>
      </c>
      <c r="AD212" s="14">
        <f t="shared" si="111"/>
        <v>0</v>
      </c>
      <c r="AE212" s="14">
        <f t="shared" si="112"/>
        <v>0</v>
      </c>
      <c r="AF212" s="15">
        <v>0</v>
      </c>
      <c r="AG212" s="7">
        <f t="shared" si="104"/>
        <v>0</v>
      </c>
      <c r="AH212" s="15">
        <v>0</v>
      </c>
      <c r="AI212" s="7">
        <f t="shared" si="105"/>
        <v>0</v>
      </c>
      <c r="AJ212" s="15">
        <v>0</v>
      </c>
      <c r="AK212" s="14">
        <f t="shared" si="106"/>
        <v>0</v>
      </c>
      <c r="AL212" s="15">
        <v>0</v>
      </c>
      <c r="AM212" s="7">
        <f t="shared" si="107"/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7">
        <f t="shared" si="108"/>
        <v>0</v>
      </c>
      <c r="AT212" s="14">
        <f t="shared" si="113"/>
        <v>0</v>
      </c>
      <c r="AU212" s="14">
        <f t="shared" si="114"/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11021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106300</v>
      </c>
      <c r="BL212" s="15">
        <v>0</v>
      </c>
      <c r="BM212" s="15">
        <v>0</v>
      </c>
      <c r="BN212" s="15">
        <v>0</v>
      </c>
      <c r="BO212" s="15">
        <v>0</v>
      </c>
      <c r="BP212" s="15">
        <v>183619</v>
      </c>
      <c r="BQ212" s="15">
        <v>37400</v>
      </c>
      <c r="BR212" s="14">
        <f t="shared" si="115"/>
        <v>221019</v>
      </c>
      <c r="BS212" s="15">
        <v>61200</v>
      </c>
      <c r="BT212" s="15">
        <v>0</v>
      </c>
      <c r="BU212" s="15">
        <v>0</v>
      </c>
      <c r="BV212" s="14">
        <f t="shared" si="116"/>
        <v>61200</v>
      </c>
      <c r="BW212" s="15">
        <v>145224</v>
      </c>
      <c r="BX212" s="15">
        <v>17427</v>
      </c>
      <c r="BY212" s="15">
        <v>145224</v>
      </c>
      <c r="BZ212" s="15">
        <v>66216</v>
      </c>
      <c r="CA212" s="15">
        <v>0</v>
      </c>
      <c r="CB212" s="15">
        <v>374091</v>
      </c>
      <c r="CC212" s="15">
        <v>2399064</v>
      </c>
      <c r="CD212" s="15">
        <v>150323</v>
      </c>
      <c r="CE212" s="15">
        <v>0</v>
      </c>
      <c r="CF212" s="14">
        <f t="shared" si="117"/>
        <v>2655687</v>
      </c>
      <c r="CG212" s="18"/>
      <c r="CH212" s="16"/>
      <c r="CI212" s="17"/>
      <c r="CJ212" s="17"/>
    </row>
    <row r="213" spans="1:88" s="13" customFormat="1" x14ac:dyDescent="0.35">
      <c r="A213" s="13">
        <v>1010209330</v>
      </c>
      <c r="B213" s="17" t="s">
        <v>95</v>
      </c>
      <c r="C213" s="17" t="s">
        <v>83</v>
      </c>
      <c r="D213" s="17" t="s">
        <v>286</v>
      </c>
      <c r="E213" s="17">
        <v>6563</v>
      </c>
      <c r="F213" s="17" t="s">
        <v>84</v>
      </c>
      <c r="G213" s="17" t="s">
        <v>85</v>
      </c>
      <c r="H213" s="17">
        <v>1010209330</v>
      </c>
      <c r="I213" s="17" t="s">
        <v>321</v>
      </c>
      <c r="J213" s="17" t="s">
        <v>94</v>
      </c>
      <c r="K213" s="17">
        <v>0</v>
      </c>
      <c r="L213" s="17">
        <v>0</v>
      </c>
      <c r="M213" s="17" t="s">
        <v>96</v>
      </c>
      <c r="N213" s="19">
        <v>45867</v>
      </c>
      <c r="O213" s="19">
        <v>45878</v>
      </c>
      <c r="P213" s="20">
        <v>1423500</v>
      </c>
      <c r="Q213" s="17">
        <v>11</v>
      </c>
      <c r="R213" s="14">
        <f t="shared" si="109"/>
        <v>521950</v>
      </c>
      <c r="S213" s="15">
        <v>73333</v>
      </c>
      <c r="T213" s="15">
        <v>0</v>
      </c>
      <c r="U213" s="7">
        <f t="shared" si="100"/>
        <v>0</v>
      </c>
      <c r="V213" s="15">
        <v>0</v>
      </c>
      <c r="W213" s="7">
        <f t="shared" si="101"/>
        <v>0</v>
      </c>
      <c r="X213" s="15">
        <v>0</v>
      </c>
      <c r="Y213" s="7">
        <f t="shared" si="110"/>
        <v>0</v>
      </c>
      <c r="Z213" s="15">
        <v>0</v>
      </c>
      <c r="AA213" s="7">
        <f t="shared" si="102"/>
        <v>0</v>
      </c>
      <c r="AB213" s="15">
        <v>0</v>
      </c>
      <c r="AC213" s="14">
        <f t="shared" si="103"/>
        <v>0</v>
      </c>
      <c r="AD213" s="14">
        <f t="shared" si="111"/>
        <v>0</v>
      </c>
      <c r="AE213" s="14">
        <f t="shared" si="112"/>
        <v>0</v>
      </c>
      <c r="AF213" s="15">
        <v>0</v>
      </c>
      <c r="AG213" s="7">
        <f t="shared" si="104"/>
        <v>0</v>
      </c>
      <c r="AH213" s="15">
        <v>0</v>
      </c>
      <c r="AI213" s="7">
        <f t="shared" si="105"/>
        <v>0</v>
      </c>
      <c r="AJ213" s="15">
        <v>0</v>
      </c>
      <c r="AK213" s="14">
        <f t="shared" si="106"/>
        <v>0</v>
      </c>
      <c r="AL213" s="15">
        <v>0</v>
      </c>
      <c r="AM213" s="7">
        <f t="shared" si="107"/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7">
        <f t="shared" si="108"/>
        <v>0</v>
      </c>
      <c r="AT213" s="14">
        <f t="shared" si="113"/>
        <v>0</v>
      </c>
      <c r="AU213" s="14">
        <f t="shared" si="114"/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180864</v>
      </c>
      <c r="BI213" s="15">
        <v>0</v>
      </c>
      <c r="BJ213" s="15">
        <v>0</v>
      </c>
      <c r="BK213" s="15">
        <v>106300</v>
      </c>
      <c r="BL213" s="15">
        <v>0</v>
      </c>
      <c r="BM213" s="15">
        <v>0</v>
      </c>
      <c r="BN213" s="15">
        <v>0</v>
      </c>
      <c r="BO213" s="15">
        <v>0</v>
      </c>
      <c r="BP213" s="15">
        <v>68440</v>
      </c>
      <c r="BQ213" s="15">
        <v>14000</v>
      </c>
      <c r="BR213" s="14">
        <f t="shared" si="115"/>
        <v>82440</v>
      </c>
      <c r="BS213" s="15">
        <v>22800</v>
      </c>
      <c r="BT213" s="15">
        <v>0</v>
      </c>
      <c r="BU213" s="15">
        <v>0</v>
      </c>
      <c r="BV213" s="14">
        <f t="shared" si="116"/>
        <v>22800</v>
      </c>
      <c r="BW213" s="15">
        <v>53559</v>
      </c>
      <c r="BX213" s="15">
        <v>6427</v>
      </c>
      <c r="BY213" s="15">
        <v>53559</v>
      </c>
      <c r="BZ213" s="15">
        <v>22572</v>
      </c>
      <c r="CA213" s="15">
        <v>0</v>
      </c>
      <c r="CB213" s="15">
        <v>136117</v>
      </c>
      <c r="CC213" s="15">
        <v>1017504</v>
      </c>
      <c r="CD213" s="15">
        <v>67430</v>
      </c>
      <c r="CE213" s="15">
        <v>0</v>
      </c>
      <c r="CF213" s="14">
        <f t="shared" si="117"/>
        <v>1191234</v>
      </c>
      <c r="CG213" s="18"/>
      <c r="CH213" s="16"/>
      <c r="CI213" s="17"/>
      <c r="CJ213" s="17"/>
    </row>
    <row r="214" spans="1:88" s="13" customFormat="1" x14ac:dyDescent="0.35">
      <c r="A214" s="13">
        <v>1073172647</v>
      </c>
      <c r="B214" s="17" t="s">
        <v>95</v>
      </c>
      <c r="C214" s="17" t="s">
        <v>83</v>
      </c>
      <c r="D214" s="17" t="s">
        <v>286</v>
      </c>
      <c r="E214" s="17">
        <v>6563</v>
      </c>
      <c r="F214" s="17" t="s">
        <v>84</v>
      </c>
      <c r="G214" s="17" t="s">
        <v>85</v>
      </c>
      <c r="H214" s="17">
        <v>1073172647</v>
      </c>
      <c r="I214" s="17" t="s">
        <v>322</v>
      </c>
      <c r="J214" s="17" t="s">
        <v>94</v>
      </c>
      <c r="K214" s="17">
        <v>0</v>
      </c>
      <c r="L214" s="17">
        <v>0</v>
      </c>
      <c r="M214" s="17" t="s">
        <v>96</v>
      </c>
      <c r="N214" s="19">
        <v>45866</v>
      </c>
      <c r="O214" s="19">
        <v>45879</v>
      </c>
      <c r="P214" s="20">
        <v>1423500</v>
      </c>
      <c r="Q214" s="17">
        <v>13</v>
      </c>
      <c r="R214" s="14">
        <f t="shared" si="109"/>
        <v>616850</v>
      </c>
      <c r="S214" s="15">
        <v>86667</v>
      </c>
      <c r="T214" s="15">
        <v>0</v>
      </c>
      <c r="U214" s="7">
        <f t="shared" si="100"/>
        <v>0</v>
      </c>
      <c r="V214" s="15">
        <v>0</v>
      </c>
      <c r="W214" s="7">
        <f t="shared" si="101"/>
        <v>0</v>
      </c>
      <c r="X214" s="15">
        <v>0</v>
      </c>
      <c r="Y214" s="7">
        <f t="shared" si="110"/>
        <v>0</v>
      </c>
      <c r="Z214" s="15">
        <v>0</v>
      </c>
      <c r="AA214" s="7">
        <f t="shared" si="102"/>
        <v>0</v>
      </c>
      <c r="AB214" s="15">
        <v>0</v>
      </c>
      <c r="AC214" s="14">
        <f t="shared" si="103"/>
        <v>0</v>
      </c>
      <c r="AD214" s="14">
        <f t="shared" si="111"/>
        <v>0</v>
      </c>
      <c r="AE214" s="14">
        <f t="shared" si="112"/>
        <v>0</v>
      </c>
      <c r="AF214" s="15">
        <v>0</v>
      </c>
      <c r="AG214" s="7">
        <f t="shared" si="104"/>
        <v>0</v>
      </c>
      <c r="AH214" s="15">
        <v>0</v>
      </c>
      <c r="AI214" s="7">
        <f t="shared" si="105"/>
        <v>0</v>
      </c>
      <c r="AJ214" s="15">
        <v>0</v>
      </c>
      <c r="AK214" s="14">
        <f t="shared" si="106"/>
        <v>0</v>
      </c>
      <c r="AL214" s="15">
        <v>0</v>
      </c>
      <c r="AM214" s="7">
        <f t="shared" si="107"/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3.5</v>
      </c>
      <c r="AS214" s="7">
        <f t="shared" si="108"/>
        <v>7926.3068181818171</v>
      </c>
      <c r="AT214" s="14">
        <f t="shared" si="113"/>
        <v>3.5</v>
      </c>
      <c r="AU214" s="14">
        <f t="shared" si="114"/>
        <v>7926.3068181818171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11021</v>
      </c>
      <c r="BE214" s="15">
        <v>0</v>
      </c>
      <c r="BF214" s="15">
        <v>0</v>
      </c>
      <c r="BG214" s="15">
        <v>0</v>
      </c>
      <c r="BH214" s="15">
        <v>89329</v>
      </c>
      <c r="BI214" s="15">
        <v>0</v>
      </c>
      <c r="BJ214" s="15">
        <v>0</v>
      </c>
      <c r="BK214" s="15">
        <v>106300</v>
      </c>
      <c r="BL214" s="15">
        <v>0</v>
      </c>
      <c r="BM214" s="15">
        <v>0</v>
      </c>
      <c r="BN214" s="15">
        <v>0</v>
      </c>
      <c r="BO214" s="15">
        <v>0</v>
      </c>
      <c r="BP214" s="15">
        <v>76424</v>
      </c>
      <c r="BQ214" s="15">
        <v>15600</v>
      </c>
      <c r="BR214" s="14">
        <f t="shared" si="115"/>
        <v>92024</v>
      </c>
      <c r="BS214" s="15">
        <v>25500</v>
      </c>
      <c r="BT214" s="15">
        <v>0</v>
      </c>
      <c r="BU214" s="15">
        <v>0</v>
      </c>
      <c r="BV214" s="14">
        <f t="shared" si="116"/>
        <v>25500</v>
      </c>
      <c r="BW214" s="15">
        <v>60203</v>
      </c>
      <c r="BX214" s="15">
        <v>7225</v>
      </c>
      <c r="BY214" s="15">
        <v>60203</v>
      </c>
      <c r="BZ214" s="15">
        <v>27352</v>
      </c>
      <c r="CA214" s="15">
        <v>0</v>
      </c>
      <c r="CB214" s="15">
        <v>154983</v>
      </c>
      <c r="CC214" s="15">
        <v>1084300</v>
      </c>
      <c r="CD214" s="15">
        <v>71439</v>
      </c>
      <c r="CE214" s="15">
        <v>0</v>
      </c>
      <c r="CF214" s="14">
        <f t="shared" si="117"/>
        <v>1262039.3068181819</v>
      </c>
      <c r="CG214" s="18"/>
      <c r="CH214" s="16"/>
      <c r="CI214" s="17"/>
      <c r="CJ214" s="17"/>
    </row>
    <row r="215" spans="1:88" s="13" customFormat="1" x14ac:dyDescent="0.35">
      <c r="A215" s="13">
        <v>1022388287</v>
      </c>
      <c r="B215" s="17" t="s">
        <v>95</v>
      </c>
      <c r="C215" s="17" t="s">
        <v>83</v>
      </c>
      <c r="D215" s="17" t="s">
        <v>286</v>
      </c>
      <c r="E215" s="17">
        <v>6563</v>
      </c>
      <c r="F215" s="17" t="s">
        <v>84</v>
      </c>
      <c r="G215" s="17" t="s">
        <v>85</v>
      </c>
      <c r="H215" s="17">
        <v>1022388287</v>
      </c>
      <c r="I215" s="17" t="s">
        <v>323</v>
      </c>
      <c r="J215" s="17" t="s">
        <v>94</v>
      </c>
      <c r="K215" s="17">
        <v>0</v>
      </c>
      <c r="L215" s="17">
        <v>0</v>
      </c>
      <c r="M215" s="17" t="s">
        <v>96</v>
      </c>
      <c r="N215" s="19">
        <v>45861</v>
      </c>
      <c r="O215" s="19">
        <v>1</v>
      </c>
      <c r="P215" s="20">
        <v>1423500</v>
      </c>
      <c r="Q215" s="17">
        <v>38</v>
      </c>
      <c r="R215" s="14">
        <f t="shared" si="109"/>
        <v>1803100</v>
      </c>
      <c r="S215" s="15">
        <v>253333</v>
      </c>
      <c r="T215" s="15">
        <v>0</v>
      </c>
      <c r="U215" s="7">
        <f t="shared" si="100"/>
        <v>0</v>
      </c>
      <c r="V215" s="15">
        <v>0</v>
      </c>
      <c r="W215" s="7">
        <f t="shared" si="101"/>
        <v>0</v>
      </c>
      <c r="X215" s="15">
        <v>0</v>
      </c>
      <c r="Y215" s="7">
        <f t="shared" si="110"/>
        <v>0</v>
      </c>
      <c r="Z215" s="15">
        <v>0</v>
      </c>
      <c r="AA215" s="7">
        <f t="shared" si="102"/>
        <v>0</v>
      </c>
      <c r="AB215" s="15">
        <v>0</v>
      </c>
      <c r="AC215" s="14">
        <f t="shared" si="103"/>
        <v>0</v>
      </c>
      <c r="AD215" s="14">
        <f t="shared" si="111"/>
        <v>0</v>
      </c>
      <c r="AE215" s="14">
        <f t="shared" si="112"/>
        <v>0</v>
      </c>
      <c r="AF215" s="15">
        <v>0</v>
      </c>
      <c r="AG215" s="7">
        <f t="shared" si="104"/>
        <v>0</v>
      </c>
      <c r="AH215" s="15">
        <v>0</v>
      </c>
      <c r="AI215" s="7">
        <f t="shared" si="105"/>
        <v>0</v>
      </c>
      <c r="AJ215" s="15">
        <v>0</v>
      </c>
      <c r="AK215" s="14">
        <f t="shared" si="106"/>
        <v>0</v>
      </c>
      <c r="AL215" s="15">
        <v>0</v>
      </c>
      <c r="AM215" s="7">
        <f t="shared" si="107"/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7">
        <f t="shared" si="108"/>
        <v>0</v>
      </c>
      <c r="AT215" s="14">
        <f t="shared" si="113"/>
        <v>0</v>
      </c>
      <c r="AU215" s="14">
        <f t="shared" si="114"/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29388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106300</v>
      </c>
      <c r="BL215" s="15">
        <v>0</v>
      </c>
      <c r="BM215" s="15">
        <v>0</v>
      </c>
      <c r="BN215" s="15">
        <v>0</v>
      </c>
      <c r="BO215" s="15">
        <v>0</v>
      </c>
      <c r="BP215" s="15">
        <v>219984</v>
      </c>
      <c r="BQ215" s="15">
        <v>44700</v>
      </c>
      <c r="BR215" s="14">
        <f t="shared" si="115"/>
        <v>264684</v>
      </c>
      <c r="BS215" s="15">
        <v>73400</v>
      </c>
      <c r="BT215" s="15">
        <v>0</v>
      </c>
      <c r="BU215" s="15">
        <v>0</v>
      </c>
      <c r="BV215" s="14">
        <f t="shared" si="116"/>
        <v>73400</v>
      </c>
      <c r="BW215" s="15">
        <v>173811</v>
      </c>
      <c r="BX215" s="15">
        <v>20858</v>
      </c>
      <c r="BY215" s="15">
        <v>173811</v>
      </c>
      <c r="BZ215" s="15">
        <v>78884</v>
      </c>
      <c r="CA215" s="15">
        <v>0</v>
      </c>
      <c r="CB215" s="15">
        <v>447364</v>
      </c>
      <c r="CC215" s="15">
        <v>2871269</v>
      </c>
      <c r="CD215" s="15">
        <v>178658</v>
      </c>
      <c r="CE215" s="15">
        <v>0</v>
      </c>
      <c r="CF215" s="14">
        <f t="shared" si="117"/>
        <v>3156227</v>
      </c>
      <c r="CG215" s="18"/>
      <c r="CH215" s="16"/>
      <c r="CI215" s="17"/>
      <c r="CJ215" s="17"/>
    </row>
    <row r="216" spans="1:88" s="13" customFormat="1" x14ac:dyDescent="0.35">
      <c r="A216" s="13">
        <v>1001912317</v>
      </c>
      <c r="B216" s="17" t="s">
        <v>95</v>
      </c>
      <c r="C216" s="17" t="s">
        <v>83</v>
      </c>
      <c r="D216" s="17" t="s">
        <v>286</v>
      </c>
      <c r="E216" s="17">
        <v>6563</v>
      </c>
      <c r="F216" s="17" t="s">
        <v>84</v>
      </c>
      <c r="G216" s="17" t="s">
        <v>85</v>
      </c>
      <c r="H216" s="17">
        <v>1001912317</v>
      </c>
      <c r="I216" s="17" t="s">
        <v>324</v>
      </c>
      <c r="J216" s="17" t="s">
        <v>94</v>
      </c>
      <c r="K216" s="17">
        <v>0</v>
      </c>
      <c r="L216" s="17">
        <v>0</v>
      </c>
      <c r="M216" s="17" t="s">
        <v>96</v>
      </c>
      <c r="N216" s="19">
        <v>45869</v>
      </c>
      <c r="O216" s="19">
        <v>1</v>
      </c>
      <c r="P216" s="20">
        <v>1423500</v>
      </c>
      <c r="Q216" s="17">
        <v>31</v>
      </c>
      <c r="R216" s="14">
        <f t="shared" si="109"/>
        <v>1470950</v>
      </c>
      <c r="S216" s="15">
        <v>206667</v>
      </c>
      <c r="T216" s="15">
        <v>0</v>
      </c>
      <c r="U216" s="7">
        <f t="shared" si="100"/>
        <v>0</v>
      </c>
      <c r="V216" s="15">
        <v>0</v>
      </c>
      <c r="W216" s="7">
        <f t="shared" si="101"/>
        <v>0</v>
      </c>
      <c r="X216" s="15">
        <v>0</v>
      </c>
      <c r="Y216" s="7">
        <f t="shared" si="110"/>
        <v>0</v>
      </c>
      <c r="Z216" s="15">
        <v>0</v>
      </c>
      <c r="AA216" s="7">
        <f t="shared" si="102"/>
        <v>0</v>
      </c>
      <c r="AB216" s="15">
        <v>0</v>
      </c>
      <c r="AC216" s="14">
        <f t="shared" si="103"/>
        <v>0</v>
      </c>
      <c r="AD216" s="14">
        <f t="shared" si="111"/>
        <v>0</v>
      </c>
      <c r="AE216" s="14">
        <f t="shared" si="112"/>
        <v>0</v>
      </c>
      <c r="AF216" s="15">
        <v>0</v>
      </c>
      <c r="AG216" s="7">
        <f t="shared" si="104"/>
        <v>0</v>
      </c>
      <c r="AH216" s="15">
        <v>0</v>
      </c>
      <c r="AI216" s="7">
        <f t="shared" si="105"/>
        <v>0</v>
      </c>
      <c r="AJ216" s="15">
        <v>0</v>
      </c>
      <c r="AK216" s="14">
        <f t="shared" si="106"/>
        <v>0</v>
      </c>
      <c r="AL216" s="15">
        <v>0</v>
      </c>
      <c r="AM216" s="7">
        <f t="shared" si="107"/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7">
        <f t="shared" si="108"/>
        <v>0</v>
      </c>
      <c r="AT216" s="14">
        <f t="shared" si="113"/>
        <v>0</v>
      </c>
      <c r="AU216" s="14">
        <f t="shared" si="114"/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11021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106300</v>
      </c>
      <c r="BL216" s="15">
        <v>0</v>
      </c>
      <c r="BM216" s="15">
        <v>0</v>
      </c>
      <c r="BN216" s="15">
        <v>0</v>
      </c>
      <c r="BO216" s="15">
        <v>0</v>
      </c>
      <c r="BP216" s="15">
        <v>177919</v>
      </c>
      <c r="BQ216" s="15">
        <v>36200</v>
      </c>
      <c r="BR216" s="14">
        <f t="shared" si="115"/>
        <v>214119</v>
      </c>
      <c r="BS216" s="15">
        <v>59300</v>
      </c>
      <c r="BT216" s="15">
        <v>0</v>
      </c>
      <c r="BU216" s="15">
        <v>0</v>
      </c>
      <c r="BV216" s="14">
        <f t="shared" si="116"/>
        <v>59300</v>
      </c>
      <c r="BW216" s="15">
        <v>140715</v>
      </c>
      <c r="BX216" s="15">
        <v>16886</v>
      </c>
      <c r="BY216" s="15">
        <v>140715</v>
      </c>
      <c r="BZ216" s="15">
        <v>64238</v>
      </c>
      <c r="CA216" s="15">
        <v>0</v>
      </c>
      <c r="CB216" s="15">
        <v>362554</v>
      </c>
      <c r="CC216" s="15">
        <v>2324611</v>
      </c>
      <c r="CD216" s="15">
        <v>145857</v>
      </c>
      <c r="CE216" s="15">
        <v>0</v>
      </c>
      <c r="CF216" s="14">
        <f t="shared" si="117"/>
        <v>2576768</v>
      </c>
      <c r="CG216" s="18"/>
      <c r="CH216" s="16"/>
      <c r="CI216" s="17"/>
      <c r="CJ216" s="17"/>
    </row>
    <row r="217" spans="1:88" s="13" customFormat="1" x14ac:dyDescent="0.35">
      <c r="A217" s="13">
        <v>1013675283</v>
      </c>
      <c r="B217" s="17" t="s">
        <v>95</v>
      </c>
      <c r="C217" s="17" t="s">
        <v>83</v>
      </c>
      <c r="D217" s="17" t="s">
        <v>286</v>
      </c>
      <c r="E217" s="17">
        <v>6571</v>
      </c>
      <c r="F217" s="17" t="s">
        <v>88</v>
      </c>
      <c r="G217" s="17" t="s">
        <v>89</v>
      </c>
      <c r="H217" s="17">
        <v>1013675283</v>
      </c>
      <c r="I217" s="17" t="s">
        <v>325</v>
      </c>
      <c r="J217" s="17" t="s">
        <v>94</v>
      </c>
      <c r="K217" s="17">
        <v>0</v>
      </c>
      <c r="L217" s="17">
        <v>0</v>
      </c>
      <c r="M217" s="17" t="s">
        <v>96</v>
      </c>
      <c r="N217" s="19">
        <v>45870</v>
      </c>
      <c r="O217" s="19">
        <v>1</v>
      </c>
      <c r="P217" s="20">
        <v>1423500</v>
      </c>
      <c r="Q217" s="17">
        <v>30</v>
      </c>
      <c r="R217" s="14">
        <f t="shared" si="109"/>
        <v>1423500</v>
      </c>
      <c r="S217" s="15">
        <v>200000</v>
      </c>
      <c r="T217" s="15">
        <v>0</v>
      </c>
      <c r="U217" s="7">
        <f t="shared" si="100"/>
        <v>0</v>
      </c>
      <c r="V217" s="15">
        <v>0</v>
      </c>
      <c r="W217" s="7">
        <f t="shared" si="101"/>
        <v>0</v>
      </c>
      <c r="X217" s="15">
        <v>0</v>
      </c>
      <c r="Y217" s="7">
        <f t="shared" si="110"/>
        <v>0</v>
      </c>
      <c r="Z217" s="15">
        <v>0</v>
      </c>
      <c r="AA217" s="7">
        <f t="shared" si="102"/>
        <v>0</v>
      </c>
      <c r="AB217" s="15">
        <v>0</v>
      </c>
      <c r="AC217" s="14">
        <f t="shared" si="103"/>
        <v>0</v>
      </c>
      <c r="AD217" s="14">
        <f t="shared" si="111"/>
        <v>0</v>
      </c>
      <c r="AE217" s="14">
        <f t="shared" si="112"/>
        <v>0</v>
      </c>
      <c r="AF217" s="15">
        <v>0</v>
      </c>
      <c r="AG217" s="7">
        <f t="shared" si="104"/>
        <v>0</v>
      </c>
      <c r="AH217" s="15">
        <v>0</v>
      </c>
      <c r="AI217" s="7">
        <f t="shared" si="105"/>
        <v>0</v>
      </c>
      <c r="AJ217" s="15">
        <v>0</v>
      </c>
      <c r="AK217" s="14">
        <f t="shared" si="106"/>
        <v>0</v>
      </c>
      <c r="AL217" s="15">
        <v>0</v>
      </c>
      <c r="AM217" s="7">
        <f t="shared" si="107"/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7">
        <f t="shared" si="108"/>
        <v>0</v>
      </c>
      <c r="AT217" s="14">
        <f t="shared" si="113"/>
        <v>0</v>
      </c>
      <c r="AU217" s="14">
        <f t="shared" si="114"/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170860</v>
      </c>
      <c r="BQ217" s="15">
        <v>34700</v>
      </c>
      <c r="BR217" s="14">
        <f t="shared" si="115"/>
        <v>205560</v>
      </c>
      <c r="BS217" s="15">
        <v>57000</v>
      </c>
      <c r="BT217" s="15">
        <v>0</v>
      </c>
      <c r="BU217" s="15">
        <v>0</v>
      </c>
      <c r="BV217" s="14">
        <f t="shared" si="116"/>
        <v>57000</v>
      </c>
      <c r="BW217" s="15">
        <v>135286</v>
      </c>
      <c r="BX217" s="15">
        <v>16235</v>
      </c>
      <c r="BY217" s="15">
        <v>135286</v>
      </c>
      <c r="BZ217" s="15">
        <v>61780</v>
      </c>
      <c r="CA217" s="15">
        <v>0</v>
      </c>
      <c r="CB217" s="15">
        <v>348587</v>
      </c>
      <c r="CC217" s="15">
        <v>2234647</v>
      </c>
      <c r="CD217" s="15">
        <v>134082</v>
      </c>
      <c r="CE217" s="15">
        <v>0</v>
      </c>
      <c r="CF217" s="14">
        <f t="shared" si="117"/>
        <v>2368729</v>
      </c>
      <c r="CG217" s="18"/>
      <c r="CH217" s="16"/>
      <c r="CI217" s="17"/>
      <c r="CJ217" s="17"/>
    </row>
    <row r="218" spans="1:88" s="13" customFormat="1" x14ac:dyDescent="0.35">
      <c r="A218" s="13">
        <v>1053335400</v>
      </c>
      <c r="B218" s="17" t="s">
        <v>95</v>
      </c>
      <c r="C218" s="17" t="s">
        <v>83</v>
      </c>
      <c r="D218" s="17" t="s">
        <v>286</v>
      </c>
      <c r="E218" s="17">
        <v>6571</v>
      </c>
      <c r="F218" s="17" t="s">
        <v>88</v>
      </c>
      <c r="G218" s="17" t="s">
        <v>89</v>
      </c>
      <c r="H218" s="17">
        <v>1053335400</v>
      </c>
      <c r="I218" s="17" t="s">
        <v>326</v>
      </c>
      <c r="J218" s="17" t="s">
        <v>94</v>
      </c>
      <c r="K218" s="17">
        <v>0</v>
      </c>
      <c r="L218" s="17">
        <v>0</v>
      </c>
      <c r="M218" s="17" t="s">
        <v>96</v>
      </c>
      <c r="N218" s="19">
        <v>45870</v>
      </c>
      <c r="O218" s="19">
        <v>1</v>
      </c>
      <c r="P218" s="20">
        <v>1423500</v>
      </c>
      <c r="Q218" s="17">
        <v>30</v>
      </c>
      <c r="R218" s="14">
        <f t="shared" ref="R218:R252" si="118">+P218/30*Q218</f>
        <v>1423500</v>
      </c>
      <c r="S218" s="15">
        <v>200000</v>
      </c>
      <c r="T218" s="15">
        <v>0</v>
      </c>
      <c r="U218" s="7">
        <f t="shared" si="100"/>
        <v>0</v>
      </c>
      <c r="V218" s="15">
        <v>0</v>
      </c>
      <c r="W218" s="7">
        <f t="shared" si="101"/>
        <v>0</v>
      </c>
      <c r="X218" s="15">
        <v>0</v>
      </c>
      <c r="Y218" s="7">
        <f t="shared" ref="Y218:Y252" si="119">+P218/235*X218*1.75</f>
        <v>0</v>
      </c>
      <c r="Z218" s="15">
        <v>0</v>
      </c>
      <c r="AA218" s="7">
        <f t="shared" si="102"/>
        <v>0</v>
      </c>
      <c r="AB218" s="15">
        <v>0</v>
      </c>
      <c r="AC218" s="14">
        <f t="shared" si="103"/>
        <v>0</v>
      </c>
      <c r="AD218" s="14">
        <f t="shared" ref="AD218:AD252" si="120">+T218+V218+X218+Z218+AB218</f>
        <v>0</v>
      </c>
      <c r="AE218" s="14">
        <f t="shared" ref="AE218:AE252" si="121">+U218+W218+Y218+AA218+AC218</f>
        <v>0</v>
      </c>
      <c r="AF218" s="15">
        <v>0</v>
      </c>
      <c r="AG218" s="7">
        <f t="shared" si="104"/>
        <v>0</v>
      </c>
      <c r="AH218" s="15">
        <v>0</v>
      </c>
      <c r="AI218" s="7">
        <f t="shared" si="105"/>
        <v>0</v>
      </c>
      <c r="AJ218" s="15">
        <v>0</v>
      </c>
      <c r="AK218" s="14">
        <f t="shared" si="106"/>
        <v>0</v>
      </c>
      <c r="AL218" s="15">
        <v>0</v>
      </c>
      <c r="AM218" s="7">
        <f t="shared" si="107"/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7">
        <f t="shared" si="108"/>
        <v>0</v>
      </c>
      <c r="AT218" s="14">
        <f t="shared" ref="AT218:AT252" si="122">+AF218+AH218+AJ218+AL218+AN218+AP218+AR218</f>
        <v>0</v>
      </c>
      <c r="AU218" s="14">
        <f t="shared" ref="AU218:AU252" si="123">+AG218+AI218+AK218+AM218+AO218+AQ218+AS218</f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0</v>
      </c>
      <c r="BP218" s="15">
        <v>170860</v>
      </c>
      <c r="BQ218" s="15">
        <v>34700</v>
      </c>
      <c r="BR218" s="14">
        <f t="shared" ref="BR218:BR252" si="124">+BO218+BP218+BQ218</f>
        <v>205560</v>
      </c>
      <c r="BS218" s="15">
        <v>57000</v>
      </c>
      <c r="BT218" s="15">
        <v>0</v>
      </c>
      <c r="BU218" s="15">
        <v>0</v>
      </c>
      <c r="BV218" s="14">
        <f t="shared" ref="BV218:BV252" si="125">+BS218+BT218+BU218</f>
        <v>57000</v>
      </c>
      <c r="BW218" s="15">
        <v>135286</v>
      </c>
      <c r="BX218" s="15">
        <v>16235</v>
      </c>
      <c r="BY218" s="15">
        <v>135286</v>
      </c>
      <c r="BZ218" s="15">
        <v>61780</v>
      </c>
      <c r="CA218" s="15">
        <v>0</v>
      </c>
      <c r="CB218" s="15">
        <v>348587</v>
      </c>
      <c r="CC218" s="15">
        <v>2234647</v>
      </c>
      <c r="CD218" s="15">
        <v>134082</v>
      </c>
      <c r="CE218" s="15">
        <v>0</v>
      </c>
      <c r="CF218" s="14">
        <f t="shared" ref="CF218:CF252" si="126">+CB218+BV218+BR218+BN218+BM218+BL218+BJ218+BI218+BH218+BF218++BG218+BE218+BD218+BC218+AZ218+AY218+AX218+AW218+AV218+AU218++AE218++S218+R218+CD218+BK218+CA218+CE218</f>
        <v>2368729</v>
      </c>
      <c r="CG218" s="18"/>
      <c r="CH218" s="16"/>
      <c r="CI218" s="17"/>
      <c r="CJ218" s="17"/>
    </row>
    <row r="219" spans="1:88" s="13" customFormat="1" x14ac:dyDescent="0.35">
      <c r="A219" s="13">
        <v>1014242353</v>
      </c>
      <c r="B219" s="17" t="s">
        <v>95</v>
      </c>
      <c r="C219" s="17" t="s">
        <v>83</v>
      </c>
      <c r="D219" s="17" t="s">
        <v>286</v>
      </c>
      <c r="E219" s="17">
        <v>6563</v>
      </c>
      <c r="F219" s="17" t="s">
        <v>84</v>
      </c>
      <c r="G219" s="17" t="s">
        <v>85</v>
      </c>
      <c r="H219" s="17">
        <v>1014242353</v>
      </c>
      <c r="I219" s="17" t="s">
        <v>327</v>
      </c>
      <c r="J219" s="17" t="s">
        <v>94</v>
      </c>
      <c r="K219" s="17">
        <v>0</v>
      </c>
      <c r="L219" s="17">
        <v>0</v>
      </c>
      <c r="M219" s="17" t="s">
        <v>96</v>
      </c>
      <c r="N219" s="19">
        <v>45873</v>
      </c>
      <c r="O219" s="19">
        <v>1</v>
      </c>
      <c r="P219" s="20">
        <v>1423500</v>
      </c>
      <c r="Q219" s="17">
        <v>27</v>
      </c>
      <c r="R219" s="14">
        <f t="shared" si="118"/>
        <v>1281150</v>
      </c>
      <c r="S219" s="15">
        <v>180000</v>
      </c>
      <c r="T219" s="15">
        <v>0</v>
      </c>
      <c r="U219" s="7">
        <f t="shared" si="100"/>
        <v>0</v>
      </c>
      <c r="V219" s="15">
        <v>0</v>
      </c>
      <c r="W219" s="7">
        <f t="shared" si="101"/>
        <v>0</v>
      </c>
      <c r="X219" s="15">
        <v>0</v>
      </c>
      <c r="Y219" s="7">
        <f t="shared" si="119"/>
        <v>0</v>
      </c>
      <c r="Z219" s="15">
        <v>0</v>
      </c>
      <c r="AA219" s="7">
        <f t="shared" si="102"/>
        <v>0</v>
      </c>
      <c r="AB219" s="15">
        <v>0</v>
      </c>
      <c r="AC219" s="14">
        <f t="shared" si="103"/>
        <v>0</v>
      </c>
      <c r="AD219" s="14">
        <f t="shared" si="120"/>
        <v>0</v>
      </c>
      <c r="AE219" s="14">
        <f t="shared" si="121"/>
        <v>0</v>
      </c>
      <c r="AF219" s="15">
        <v>0</v>
      </c>
      <c r="AG219" s="7">
        <f t="shared" si="104"/>
        <v>0</v>
      </c>
      <c r="AH219" s="15">
        <v>0</v>
      </c>
      <c r="AI219" s="7">
        <f t="shared" si="105"/>
        <v>0</v>
      </c>
      <c r="AJ219" s="15">
        <v>0</v>
      </c>
      <c r="AK219" s="14">
        <f t="shared" si="106"/>
        <v>0</v>
      </c>
      <c r="AL219" s="15">
        <v>0</v>
      </c>
      <c r="AM219" s="7">
        <f t="shared" si="107"/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7">
        <f t="shared" si="108"/>
        <v>0</v>
      </c>
      <c r="AT219" s="14">
        <f t="shared" si="122"/>
        <v>0</v>
      </c>
      <c r="AU219" s="14">
        <f t="shared" si="123"/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153754</v>
      </c>
      <c r="BQ219" s="15">
        <v>31300</v>
      </c>
      <c r="BR219" s="14">
        <f t="shared" si="124"/>
        <v>185054</v>
      </c>
      <c r="BS219" s="15">
        <v>51300</v>
      </c>
      <c r="BT219" s="15">
        <v>0</v>
      </c>
      <c r="BU219" s="15">
        <v>0</v>
      </c>
      <c r="BV219" s="14">
        <f t="shared" si="125"/>
        <v>51300</v>
      </c>
      <c r="BW219" s="15">
        <v>121758</v>
      </c>
      <c r="BX219" s="15">
        <v>14612</v>
      </c>
      <c r="BY219" s="15">
        <v>121758</v>
      </c>
      <c r="BZ219" s="15">
        <v>55602</v>
      </c>
      <c r="CA219" s="15">
        <v>0</v>
      </c>
      <c r="CB219" s="15">
        <v>313730</v>
      </c>
      <c r="CC219" s="15">
        <v>2011234</v>
      </c>
      <c r="CD219" s="15">
        <v>120676</v>
      </c>
      <c r="CE219" s="15">
        <v>0</v>
      </c>
      <c r="CF219" s="14">
        <f t="shared" si="126"/>
        <v>2131910</v>
      </c>
      <c r="CG219" s="18"/>
      <c r="CH219" s="16"/>
      <c r="CI219" s="17"/>
      <c r="CJ219" s="17"/>
    </row>
    <row r="220" spans="1:88" s="13" customFormat="1" x14ac:dyDescent="0.35">
      <c r="A220" s="13">
        <v>80772724</v>
      </c>
      <c r="B220" s="17" t="s">
        <v>95</v>
      </c>
      <c r="C220" s="17" t="s">
        <v>83</v>
      </c>
      <c r="D220" s="17" t="s">
        <v>286</v>
      </c>
      <c r="E220" s="17">
        <v>6563</v>
      </c>
      <c r="F220" s="17" t="s">
        <v>84</v>
      </c>
      <c r="G220" s="17" t="s">
        <v>85</v>
      </c>
      <c r="H220" s="17">
        <v>80772724</v>
      </c>
      <c r="I220" s="17" t="s">
        <v>328</v>
      </c>
      <c r="J220" s="17" t="s">
        <v>94</v>
      </c>
      <c r="K220" s="17">
        <v>0</v>
      </c>
      <c r="L220" s="17">
        <v>0</v>
      </c>
      <c r="M220" s="17" t="s">
        <v>96</v>
      </c>
      <c r="N220" s="19">
        <v>45873</v>
      </c>
      <c r="O220" s="19">
        <v>1</v>
      </c>
      <c r="P220" s="20">
        <v>1423500</v>
      </c>
      <c r="Q220" s="17">
        <v>27</v>
      </c>
      <c r="R220" s="14">
        <f t="shared" si="118"/>
        <v>1281150</v>
      </c>
      <c r="S220" s="15">
        <v>180000</v>
      </c>
      <c r="T220" s="15">
        <v>0</v>
      </c>
      <c r="U220" s="7">
        <f t="shared" si="100"/>
        <v>0</v>
      </c>
      <c r="V220" s="15">
        <v>0</v>
      </c>
      <c r="W220" s="7">
        <f t="shared" si="101"/>
        <v>0</v>
      </c>
      <c r="X220" s="15">
        <v>0</v>
      </c>
      <c r="Y220" s="7">
        <f t="shared" si="119"/>
        <v>0</v>
      </c>
      <c r="Z220" s="15">
        <v>0</v>
      </c>
      <c r="AA220" s="7">
        <f t="shared" si="102"/>
        <v>0</v>
      </c>
      <c r="AB220" s="15">
        <v>0</v>
      </c>
      <c r="AC220" s="14">
        <f t="shared" si="103"/>
        <v>0</v>
      </c>
      <c r="AD220" s="14">
        <f t="shared" si="120"/>
        <v>0</v>
      </c>
      <c r="AE220" s="14">
        <f t="shared" si="121"/>
        <v>0</v>
      </c>
      <c r="AF220" s="15">
        <v>0</v>
      </c>
      <c r="AG220" s="7">
        <f t="shared" si="104"/>
        <v>0</v>
      </c>
      <c r="AH220" s="15">
        <v>0</v>
      </c>
      <c r="AI220" s="7">
        <f t="shared" si="105"/>
        <v>0</v>
      </c>
      <c r="AJ220" s="15">
        <v>0</v>
      </c>
      <c r="AK220" s="14">
        <f t="shared" si="106"/>
        <v>0</v>
      </c>
      <c r="AL220" s="15">
        <v>0</v>
      </c>
      <c r="AM220" s="7">
        <f t="shared" si="107"/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7">
        <f t="shared" si="108"/>
        <v>0</v>
      </c>
      <c r="AT220" s="14">
        <f t="shared" si="122"/>
        <v>0</v>
      </c>
      <c r="AU220" s="14">
        <f t="shared" si="123"/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0</v>
      </c>
      <c r="BP220" s="15">
        <v>153754</v>
      </c>
      <c r="BQ220" s="15">
        <v>31300</v>
      </c>
      <c r="BR220" s="14">
        <f t="shared" si="124"/>
        <v>185054</v>
      </c>
      <c r="BS220" s="15">
        <v>51300</v>
      </c>
      <c r="BT220" s="15">
        <v>0</v>
      </c>
      <c r="BU220" s="15">
        <v>0</v>
      </c>
      <c r="BV220" s="14">
        <f t="shared" si="125"/>
        <v>51300</v>
      </c>
      <c r="BW220" s="15">
        <v>121758</v>
      </c>
      <c r="BX220" s="15">
        <v>14612</v>
      </c>
      <c r="BY220" s="15">
        <v>121758</v>
      </c>
      <c r="BZ220" s="15">
        <v>55602</v>
      </c>
      <c r="CA220" s="15">
        <v>0</v>
      </c>
      <c r="CB220" s="15">
        <v>313730</v>
      </c>
      <c r="CC220" s="15">
        <v>2011234</v>
      </c>
      <c r="CD220" s="15">
        <v>120676</v>
      </c>
      <c r="CE220" s="15">
        <v>0</v>
      </c>
      <c r="CF220" s="14">
        <f t="shared" si="126"/>
        <v>2131910</v>
      </c>
      <c r="CG220" s="18"/>
      <c r="CH220" s="16"/>
      <c r="CI220" s="17"/>
      <c r="CJ220" s="17"/>
    </row>
    <row r="221" spans="1:88" s="13" customFormat="1" x14ac:dyDescent="0.35">
      <c r="A221" s="13">
        <v>1069852040</v>
      </c>
      <c r="B221" s="17" t="s">
        <v>95</v>
      </c>
      <c r="C221" s="17" t="s">
        <v>83</v>
      </c>
      <c r="D221" s="17" t="s">
        <v>286</v>
      </c>
      <c r="E221" s="17">
        <v>6563</v>
      </c>
      <c r="F221" s="17" t="s">
        <v>84</v>
      </c>
      <c r="G221" s="17" t="s">
        <v>85</v>
      </c>
      <c r="H221" s="17">
        <v>1069852040</v>
      </c>
      <c r="I221" s="17" t="s">
        <v>329</v>
      </c>
      <c r="J221" s="17" t="s">
        <v>94</v>
      </c>
      <c r="K221" s="17">
        <v>0</v>
      </c>
      <c r="L221" s="17">
        <v>0</v>
      </c>
      <c r="M221" s="17" t="s">
        <v>96</v>
      </c>
      <c r="N221" s="19">
        <v>45873</v>
      </c>
      <c r="O221" s="19">
        <v>1</v>
      </c>
      <c r="P221" s="20">
        <v>782925</v>
      </c>
      <c r="Q221" s="17">
        <v>27</v>
      </c>
      <c r="R221" s="14">
        <f t="shared" si="118"/>
        <v>704632.5</v>
      </c>
      <c r="S221" s="15">
        <v>180000</v>
      </c>
      <c r="T221" s="15">
        <v>0</v>
      </c>
      <c r="U221" s="7">
        <f t="shared" si="100"/>
        <v>0</v>
      </c>
      <c r="V221" s="15">
        <v>0</v>
      </c>
      <c r="W221" s="7">
        <f t="shared" si="101"/>
        <v>0</v>
      </c>
      <c r="X221" s="15">
        <v>0</v>
      </c>
      <c r="Y221" s="7">
        <f t="shared" si="119"/>
        <v>0</v>
      </c>
      <c r="Z221" s="15">
        <v>0</v>
      </c>
      <c r="AA221" s="7">
        <f t="shared" si="102"/>
        <v>0</v>
      </c>
      <c r="AB221" s="15">
        <v>0</v>
      </c>
      <c r="AC221" s="14">
        <f t="shared" si="103"/>
        <v>0</v>
      </c>
      <c r="AD221" s="14">
        <f t="shared" si="120"/>
        <v>0</v>
      </c>
      <c r="AE221" s="14">
        <f t="shared" si="121"/>
        <v>0</v>
      </c>
      <c r="AF221" s="15">
        <v>0</v>
      </c>
      <c r="AG221" s="7">
        <f t="shared" si="104"/>
        <v>0</v>
      </c>
      <c r="AH221" s="15">
        <v>0</v>
      </c>
      <c r="AI221" s="7">
        <f t="shared" si="105"/>
        <v>0</v>
      </c>
      <c r="AJ221" s="15">
        <v>0</v>
      </c>
      <c r="AK221" s="14">
        <f t="shared" si="106"/>
        <v>0</v>
      </c>
      <c r="AL221" s="15">
        <v>0</v>
      </c>
      <c r="AM221" s="7">
        <f t="shared" si="107"/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7">
        <f t="shared" si="108"/>
        <v>0</v>
      </c>
      <c r="AT221" s="14">
        <f t="shared" si="122"/>
        <v>0</v>
      </c>
      <c r="AU221" s="14">
        <f t="shared" si="123"/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153754</v>
      </c>
      <c r="BQ221" s="15">
        <v>31300</v>
      </c>
      <c r="BR221" s="14">
        <f t="shared" si="124"/>
        <v>185054</v>
      </c>
      <c r="BS221" s="15">
        <v>28200</v>
      </c>
      <c r="BT221" s="15">
        <v>0</v>
      </c>
      <c r="BU221" s="15">
        <v>0</v>
      </c>
      <c r="BV221" s="14">
        <f t="shared" si="125"/>
        <v>28200</v>
      </c>
      <c r="BW221" s="15">
        <v>73716</v>
      </c>
      <c r="BX221" s="15">
        <v>8846</v>
      </c>
      <c r="BY221" s="15">
        <v>73716</v>
      </c>
      <c r="BZ221" s="15">
        <v>30580</v>
      </c>
      <c r="CA221" s="15">
        <v>0</v>
      </c>
      <c r="CB221" s="15">
        <v>186858</v>
      </c>
      <c r="CC221" s="15">
        <v>1284745</v>
      </c>
      <c r="CD221" s="15">
        <v>77085</v>
      </c>
      <c r="CE221" s="15">
        <v>0</v>
      </c>
      <c r="CF221" s="14">
        <f t="shared" si="126"/>
        <v>1361829.5</v>
      </c>
      <c r="CG221" s="18"/>
      <c r="CH221" s="16"/>
      <c r="CI221" s="17"/>
      <c r="CJ221" s="17"/>
    </row>
    <row r="222" spans="1:88" s="13" customFormat="1" x14ac:dyDescent="0.35">
      <c r="A222" s="13">
        <v>52197991</v>
      </c>
      <c r="B222" s="17" t="s">
        <v>95</v>
      </c>
      <c r="C222" s="17" t="s">
        <v>83</v>
      </c>
      <c r="D222" s="17" t="s">
        <v>286</v>
      </c>
      <c r="E222" s="17">
        <v>6563</v>
      </c>
      <c r="F222" s="17" t="s">
        <v>84</v>
      </c>
      <c r="G222" s="17" t="s">
        <v>85</v>
      </c>
      <c r="H222" s="17">
        <v>52197991</v>
      </c>
      <c r="I222" s="17" t="s">
        <v>330</v>
      </c>
      <c r="J222" s="17" t="s">
        <v>94</v>
      </c>
      <c r="K222" s="17">
        <v>0</v>
      </c>
      <c r="L222" s="17">
        <v>0</v>
      </c>
      <c r="M222" s="17" t="s">
        <v>96</v>
      </c>
      <c r="N222" s="19">
        <v>45873</v>
      </c>
      <c r="O222" s="19">
        <v>1</v>
      </c>
      <c r="P222" s="20">
        <v>1423500</v>
      </c>
      <c r="Q222" s="17">
        <v>27</v>
      </c>
      <c r="R222" s="14">
        <f t="shared" si="118"/>
        <v>1281150</v>
      </c>
      <c r="S222" s="15">
        <v>160000</v>
      </c>
      <c r="T222" s="15">
        <v>0</v>
      </c>
      <c r="U222" s="7">
        <f t="shared" si="100"/>
        <v>0</v>
      </c>
      <c r="V222" s="15">
        <v>0</v>
      </c>
      <c r="W222" s="7">
        <f t="shared" si="101"/>
        <v>0</v>
      </c>
      <c r="X222" s="15">
        <v>0</v>
      </c>
      <c r="Y222" s="7">
        <f t="shared" si="119"/>
        <v>0</v>
      </c>
      <c r="Z222" s="15">
        <v>0</v>
      </c>
      <c r="AA222" s="7">
        <f t="shared" si="102"/>
        <v>0</v>
      </c>
      <c r="AB222" s="15">
        <v>0</v>
      </c>
      <c r="AC222" s="14">
        <f t="shared" si="103"/>
        <v>0</v>
      </c>
      <c r="AD222" s="14">
        <f t="shared" si="120"/>
        <v>0</v>
      </c>
      <c r="AE222" s="14">
        <f t="shared" si="121"/>
        <v>0</v>
      </c>
      <c r="AF222" s="15">
        <v>0</v>
      </c>
      <c r="AG222" s="7">
        <f t="shared" si="104"/>
        <v>0</v>
      </c>
      <c r="AH222" s="15">
        <v>0</v>
      </c>
      <c r="AI222" s="7">
        <f t="shared" si="105"/>
        <v>0</v>
      </c>
      <c r="AJ222" s="15">
        <v>0</v>
      </c>
      <c r="AK222" s="14">
        <f t="shared" si="106"/>
        <v>0</v>
      </c>
      <c r="AL222" s="15">
        <v>0</v>
      </c>
      <c r="AM222" s="7">
        <f t="shared" si="107"/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7">
        <f t="shared" si="108"/>
        <v>0</v>
      </c>
      <c r="AT222" s="14">
        <f t="shared" si="122"/>
        <v>0</v>
      </c>
      <c r="AU222" s="14">
        <f t="shared" si="123"/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-13333</v>
      </c>
      <c r="BI222" s="15">
        <v>0</v>
      </c>
      <c r="BJ222" s="15">
        <v>0</v>
      </c>
      <c r="BK222" s="15">
        <v>0</v>
      </c>
      <c r="BL222" s="15">
        <v>0</v>
      </c>
      <c r="BM222" s="15">
        <v>0</v>
      </c>
      <c r="BN222" s="15">
        <v>0</v>
      </c>
      <c r="BO222" s="15">
        <v>0</v>
      </c>
      <c r="BP222" s="15">
        <v>153854</v>
      </c>
      <c r="BQ222" s="15">
        <v>27800</v>
      </c>
      <c r="BR222" s="14">
        <f t="shared" si="124"/>
        <v>181654</v>
      </c>
      <c r="BS222" s="15">
        <v>45600</v>
      </c>
      <c r="BT222" s="15">
        <v>0</v>
      </c>
      <c r="BU222" s="15">
        <v>0</v>
      </c>
      <c r="BV222" s="14">
        <f t="shared" si="125"/>
        <v>45600</v>
      </c>
      <c r="BW222" s="15">
        <v>118980</v>
      </c>
      <c r="BX222" s="15">
        <v>14278</v>
      </c>
      <c r="BY222" s="15">
        <v>118980</v>
      </c>
      <c r="BZ222" s="15">
        <v>55602</v>
      </c>
      <c r="CA222" s="15">
        <v>0</v>
      </c>
      <c r="CB222" s="15">
        <v>307840</v>
      </c>
      <c r="CC222" s="15">
        <v>1962911</v>
      </c>
      <c r="CD222" s="15">
        <v>117776</v>
      </c>
      <c r="CE222" s="15">
        <v>0</v>
      </c>
      <c r="CF222" s="14">
        <f t="shared" si="126"/>
        <v>2080687</v>
      </c>
      <c r="CG222" s="18"/>
      <c r="CH222" s="16"/>
      <c r="CI222" s="17"/>
      <c r="CJ222" s="17"/>
    </row>
    <row r="223" spans="1:88" s="13" customFormat="1" x14ac:dyDescent="0.35">
      <c r="A223" s="13">
        <v>1193148802</v>
      </c>
      <c r="B223" s="17" t="s">
        <v>95</v>
      </c>
      <c r="C223" s="17" t="s">
        <v>83</v>
      </c>
      <c r="D223" s="17" t="s">
        <v>286</v>
      </c>
      <c r="E223" s="17">
        <v>6563</v>
      </c>
      <c r="F223" s="17" t="s">
        <v>84</v>
      </c>
      <c r="G223" s="17" t="s">
        <v>85</v>
      </c>
      <c r="H223" s="17">
        <v>1193148802</v>
      </c>
      <c r="I223" s="17" t="s">
        <v>331</v>
      </c>
      <c r="J223" s="17" t="s">
        <v>94</v>
      </c>
      <c r="K223" s="17">
        <v>0</v>
      </c>
      <c r="L223" s="17">
        <v>0</v>
      </c>
      <c r="M223" s="17" t="s">
        <v>96</v>
      </c>
      <c r="N223" s="19">
        <v>45873</v>
      </c>
      <c r="O223" s="19">
        <v>1</v>
      </c>
      <c r="P223" s="20">
        <v>1423500</v>
      </c>
      <c r="Q223" s="17">
        <v>27</v>
      </c>
      <c r="R223" s="14">
        <f t="shared" si="118"/>
        <v>1281150</v>
      </c>
      <c r="S223" s="15">
        <v>180000</v>
      </c>
      <c r="T223" s="15">
        <v>0</v>
      </c>
      <c r="U223" s="7">
        <f t="shared" si="100"/>
        <v>0</v>
      </c>
      <c r="V223" s="15">
        <v>0</v>
      </c>
      <c r="W223" s="7">
        <f t="shared" si="101"/>
        <v>0</v>
      </c>
      <c r="X223" s="15">
        <v>0</v>
      </c>
      <c r="Y223" s="7">
        <f t="shared" si="119"/>
        <v>0</v>
      </c>
      <c r="Z223" s="15">
        <v>0</v>
      </c>
      <c r="AA223" s="7">
        <f t="shared" si="102"/>
        <v>0</v>
      </c>
      <c r="AB223" s="15">
        <v>0</v>
      </c>
      <c r="AC223" s="14">
        <f t="shared" si="103"/>
        <v>0</v>
      </c>
      <c r="AD223" s="14">
        <f t="shared" si="120"/>
        <v>0</v>
      </c>
      <c r="AE223" s="14">
        <f t="shared" si="121"/>
        <v>0</v>
      </c>
      <c r="AF223" s="15">
        <v>0</v>
      </c>
      <c r="AG223" s="7">
        <f t="shared" si="104"/>
        <v>0</v>
      </c>
      <c r="AH223" s="15">
        <v>0</v>
      </c>
      <c r="AI223" s="7">
        <f t="shared" si="105"/>
        <v>0</v>
      </c>
      <c r="AJ223" s="15">
        <v>0</v>
      </c>
      <c r="AK223" s="14">
        <f t="shared" si="106"/>
        <v>0</v>
      </c>
      <c r="AL223" s="15">
        <v>0</v>
      </c>
      <c r="AM223" s="7">
        <f t="shared" si="107"/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7">
        <f t="shared" si="108"/>
        <v>0</v>
      </c>
      <c r="AT223" s="14">
        <f t="shared" si="122"/>
        <v>0</v>
      </c>
      <c r="AU223" s="14">
        <f t="shared" si="123"/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153754</v>
      </c>
      <c r="BQ223" s="15">
        <v>31300</v>
      </c>
      <c r="BR223" s="14">
        <f t="shared" si="124"/>
        <v>185054</v>
      </c>
      <c r="BS223" s="15">
        <v>51300</v>
      </c>
      <c r="BT223" s="15">
        <v>0</v>
      </c>
      <c r="BU223" s="15">
        <v>0</v>
      </c>
      <c r="BV223" s="14">
        <f t="shared" si="125"/>
        <v>51300</v>
      </c>
      <c r="BW223" s="15">
        <v>121758</v>
      </c>
      <c r="BX223" s="15">
        <v>14612</v>
      </c>
      <c r="BY223" s="15">
        <v>121758</v>
      </c>
      <c r="BZ223" s="15">
        <v>55602</v>
      </c>
      <c r="CA223" s="15">
        <v>0</v>
      </c>
      <c r="CB223" s="15">
        <v>313730</v>
      </c>
      <c r="CC223" s="15">
        <v>2011234</v>
      </c>
      <c r="CD223" s="15">
        <v>120676</v>
      </c>
      <c r="CE223" s="15">
        <v>0</v>
      </c>
      <c r="CF223" s="14">
        <f t="shared" si="126"/>
        <v>2131910</v>
      </c>
      <c r="CG223" s="18"/>
      <c r="CH223" s="16"/>
      <c r="CI223" s="17"/>
      <c r="CJ223" s="17"/>
    </row>
    <row r="224" spans="1:88" s="13" customFormat="1" x14ac:dyDescent="0.35">
      <c r="A224" s="13">
        <v>1007648513</v>
      </c>
      <c r="B224" s="17" t="s">
        <v>95</v>
      </c>
      <c r="C224" s="17" t="s">
        <v>83</v>
      </c>
      <c r="D224" s="17" t="s">
        <v>286</v>
      </c>
      <c r="E224" s="17">
        <v>6563</v>
      </c>
      <c r="F224" s="17" t="s">
        <v>84</v>
      </c>
      <c r="G224" s="17" t="s">
        <v>85</v>
      </c>
      <c r="H224" s="17">
        <v>1007648513</v>
      </c>
      <c r="I224" s="17" t="s">
        <v>332</v>
      </c>
      <c r="J224" s="17" t="s">
        <v>94</v>
      </c>
      <c r="K224" s="17">
        <v>0</v>
      </c>
      <c r="L224" s="17">
        <v>0</v>
      </c>
      <c r="M224" s="17" t="s">
        <v>96</v>
      </c>
      <c r="N224" s="19">
        <v>45873</v>
      </c>
      <c r="O224" s="19">
        <v>1</v>
      </c>
      <c r="P224" s="20">
        <v>1423500</v>
      </c>
      <c r="Q224" s="17">
        <v>27</v>
      </c>
      <c r="R224" s="14">
        <f t="shared" si="118"/>
        <v>1281150</v>
      </c>
      <c r="S224" s="15">
        <v>180000</v>
      </c>
      <c r="T224" s="15">
        <v>0</v>
      </c>
      <c r="U224" s="7">
        <f t="shared" si="100"/>
        <v>0</v>
      </c>
      <c r="V224" s="15">
        <v>0</v>
      </c>
      <c r="W224" s="7">
        <f t="shared" si="101"/>
        <v>0</v>
      </c>
      <c r="X224" s="15">
        <v>0</v>
      </c>
      <c r="Y224" s="7">
        <f t="shared" si="119"/>
        <v>0</v>
      </c>
      <c r="Z224" s="15">
        <v>0</v>
      </c>
      <c r="AA224" s="7">
        <f t="shared" si="102"/>
        <v>0</v>
      </c>
      <c r="AB224" s="15">
        <v>0</v>
      </c>
      <c r="AC224" s="14">
        <f t="shared" si="103"/>
        <v>0</v>
      </c>
      <c r="AD224" s="14">
        <f t="shared" si="120"/>
        <v>0</v>
      </c>
      <c r="AE224" s="14">
        <f t="shared" si="121"/>
        <v>0</v>
      </c>
      <c r="AF224" s="15">
        <v>0</v>
      </c>
      <c r="AG224" s="7">
        <f t="shared" si="104"/>
        <v>0</v>
      </c>
      <c r="AH224" s="15">
        <v>0</v>
      </c>
      <c r="AI224" s="7">
        <f t="shared" si="105"/>
        <v>0</v>
      </c>
      <c r="AJ224" s="15">
        <v>0</v>
      </c>
      <c r="AK224" s="14">
        <f t="shared" si="106"/>
        <v>0</v>
      </c>
      <c r="AL224" s="15">
        <v>0</v>
      </c>
      <c r="AM224" s="7">
        <f t="shared" si="107"/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7">
        <f t="shared" si="108"/>
        <v>0</v>
      </c>
      <c r="AT224" s="14">
        <f t="shared" si="122"/>
        <v>0</v>
      </c>
      <c r="AU224" s="14">
        <f t="shared" si="123"/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0</v>
      </c>
      <c r="BP224" s="15">
        <v>153754</v>
      </c>
      <c r="BQ224" s="15">
        <v>31300</v>
      </c>
      <c r="BR224" s="14">
        <f t="shared" si="124"/>
        <v>185054</v>
      </c>
      <c r="BS224" s="15">
        <v>51300</v>
      </c>
      <c r="BT224" s="15">
        <v>0</v>
      </c>
      <c r="BU224" s="15">
        <v>0</v>
      </c>
      <c r="BV224" s="14">
        <f t="shared" si="125"/>
        <v>51300</v>
      </c>
      <c r="BW224" s="15">
        <v>121758</v>
      </c>
      <c r="BX224" s="15">
        <v>14612</v>
      </c>
      <c r="BY224" s="15">
        <v>121758</v>
      </c>
      <c r="BZ224" s="15">
        <v>55602</v>
      </c>
      <c r="CA224" s="15">
        <v>0</v>
      </c>
      <c r="CB224" s="15">
        <v>313730</v>
      </c>
      <c r="CC224" s="15">
        <v>2011234</v>
      </c>
      <c r="CD224" s="15">
        <v>120676</v>
      </c>
      <c r="CE224" s="15">
        <v>0</v>
      </c>
      <c r="CF224" s="14">
        <f t="shared" si="126"/>
        <v>2131910</v>
      </c>
      <c r="CG224" s="18"/>
      <c r="CH224" s="16"/>
      <c r="CI224" s="17"/>
      <c r="CJ224" s="17"/>
    </row>
    <row r="225" spans="1:88" s="13" customFormat="1" x14ac:dyDescent="0.35">
      <c r="A225" s="13">
        <v>1003566142</v>
      </c>
      <c r="B225" s="17" t="s">
        <v>95</v>
      </c>
      <c r="C225" s="17" t="s">
        <v>83</v>
      </c>
      <c r="D225" s="17" t="s">
        <v>286</v>
      </c>
      <c r="E225" s="17">
        <v>6563</v>
      </c>
      <c r="F225" s="17" t="s">
        <v>84</v>
      </c>
      <c r="G225" s="17" t="s">
        <v>85</v>
      </c>
      <c r="H225" s="17">
        <v>1003566142</v>
      </c>
      <c r="I225" s="17" t="s">
        <v>333</v>
      </c>
      <c r="J225" s="17" t="s">
        <v>94</v>
      </c>
      <c r="K225" s="17">
        <v>0</v>
      </c>
      <c r="L225" s="17">
        <v>0</v>
      </c>
      <c r="M225" s="17" t="s">
        <v>96</v>
      </c>
      <c r="N225" s="19">
        <v>45873</v>
      </c>
      <c r="O225" s="19">
        <v>1</v>
      </c>
      <c r="P225" s="20">
        <v>1423500</v>
      </c>
      <c r="Q225" s="17">
        <v>27</v>
      </c>
      <c r="R225" s="14">
        <f t="shared" si="118"/>
        <v>1281150</v>
      </c>
      <c r="S225" s="15">
        <v>180000</v>
      </c>
      <c r="T225" s="15">
        <v>0</v>
      </c>
      <c r="U225" s="7">
        <f t="shared" si="100"/>
        <v>0</v>
      </c>
      <c r="V225" s="15">
        <v>0</v>
      </c>
      <c r="W225" s="7">
        <f t="shared" si="101"/>
        <v>0</v>
      </c>
      <c r="X225" s="15">
        <v>0</v>
      </c>
      <c r="Y225" s="7">
        <f t="shared" si="119"/>
        <v>0</v>
      </c>
      <c r="Z225" s="15">
        <v>0</v>
      </c>
      <c r="AA225" s="7">
        <f t="shared" si="102"/>
        <v>0</v>
      </c>
      <c r="AB225" s="15">
        <v>0</v>
      </c>
      <c r="AC225" s="14">
        <f t="shared" si="103"/>
        <v>0</v>
      </c>
      <c r="AD225" s="14">
        <f t="shared" si="120"/>
        <v>0</v>
      </c>
      <c r="AE225" s="14">
        <f t="shared" si="121"/>
        <v>0</v>
      </c>
      <c r="AF225" s="15">
        <v>0</v>
      </c>
      <c r="AG225" s="7">
        <f t="shared" si="104"/>
        <v>0</v>
      </c>
      <c r="AH225" s="15">
        <v>0</v>
      </c>
      <c r="AI225" s="7">
        <f t="shared" si="105"/>
        <v>0</v>
      </c>
      <c r="AJ225" s="15">
        <v>0</v>
      </c>
      <c r="AK225" s="14">
        <f t="shared" si="106"/>
        <v>0</v>
      </c>
      <c r="AL225" s="15">
        <v>0</v>
      </c>
      <c r="AM225" s="7">
        <f t="shared" si="107"/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7">
        <f t="shared" si="108"/>
        <v>0</v>
      </c>
      <c r="AT225" s="14">
        <f t="shared" si="122"/>
        <v>0</v>
      </c>
      <c r="AU225" s="14">
        <f t="shared" si="123"/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153754</v>
      </c>
      <c r="BQ225" s="15">
        <v>31300</v>
      </c>
      <c r="BR225" s="14">
        <f t="shared" si="124"/>
        <v>185054</v>
      </c>
      <c r="BS225" s="15">
        <v>51300</v>
      </c>
      <c r="BT225" s="15">
        <v>0</v>
      </c>
      <c r="BU225" s="15">
        <v>0</v>
      </c>
      <c r="BV225" s="14">
        <f t="shared" si="125"/>
        <v>51300</v>
      </c>
      <c r="BW225" s="15">
        <v>121758</v>
      </c>
      <c r="BX225" s="15">
        <v>14612</v>
      </c>
      <c r="BY225" s="15">
        <v>121758</v>
      </c>
      <c r="BZ225" s="15">
        <v>55602</v>
      </c>
      <c r="CA225" s="15">
        <v>0</v>
      </c>
      <c r="CB225" s="15">
        <v>313730</v>
      </c>
      <c r="CC225" s="15">
        <v>2011234</v>
      </c>
      <c r="CD225" s="15">
        <v>120676</v>
      </c>
      <c r="CE225" s="15">
        <v>0</v>
      </c>
      <c r="CF225" s="14">
        <f t="shared" si="126"/>
        <v>2131910</v>
      </c>
      <c r="CG225" s="18"/>
      <c r="CH225" s="16"/>
      <c r="CI225" s="17"/>
      <c r="CJ225" s="17"/>
    </row>
    <row r="226" spans="1:88" s="13" customFormat="1" x14ac:dyDescent="0.35">
      <c r="A226" s="13">
        <v>80803783</v>
      </c>
      <c r="B226" s="17" t="s">
        <v>95</v>
      </c>
      <c r="C226" s="17" t="s">
        <v>83</v>
      </c>
      <c r="D226" s="17" t="s">
        <v>286</v>
      </c>
      <c r="E226" s="17">
        <v>6563</v>
      </c>
      <c r="F226" s="17" t="s">
        <v>84</v>
      </c>
      <c r="G226" s="17" t="s">
        <v>85</v>
      </c>
      <c r="H226" s="17">
        <v>80803783</v>
      </c>
      <c r="I226" s="17" t="s">
        <v>334</v>
      </c>
      <c r="J226" s="17" t="s">
        <v>94</v>
      </c>
      <c r="K226" s="17">
        <v>0</v>
      </c>
      <c r="L226" s="17">
        <v>0</v>
      </c>
      <c r="M226" s="17" t="s">
        <v>96</v>
      </c>
      <c r="N226" s="19">
        <v>45873</v>
      </c>
      <c r="O226" s="19">
        <v>1</v>
      </c>
      <c r="P226" s="20">
        <v>1423500</v>
      </c>
      <c r="Q226" s="17">
        <v>27</v>
      </c>
      <c r="R226" s="14">
        <f t="shared" si="118"/>
        <v>1281150</v>
      </c>
      <c r="S226" s="15">
        <v>180000</v>
      </c>
      <c r="T226" s="15">
        <v>0</v>
      </c>
      <c r="U226" s="7">
        <f t="shared" si="100"/>
        <v>0</v>
      </c>
      <c r="V226" s="15">
        <v>0</v>
      </c>
      <c r="W226" s="7">
        <f t="shared" si="101"/>
        <v>0</v>
      </c>
      <c r="X226" s="15">
        <v>0</v>
      </c>
      <c r="Y226" s="7">
        <f t="shared" si="119"/>
        <v>0</v>
      </c>
      <c r="Z226" s="15">
        <v>0</v>
      </c>
      <c r="AA226" s="7">
        <f t="shared" si="102"/>
        <v>0</v>
      </c>
      <c r="AB226" s="15">
        <v>0</v>
      </c>
      <c r="AC226" s="14">
        <f t="shared" si="103"/>
        <v>0</v>
      </c>
      <c r="AD226" s="14">
        <f t="shared" si="120"/>
        <v>0</v>
      </c>
      <c r="AE226" s="14">
        <f t="shared" si="121"/>
        <v>0</v>
      </c>
      <c r="AF226" s="15">
        <v>0</v>
      </c>
      <c r="AG226" s="7">
        <f t="shared" si="104"/>
        <v>0</v>
      </c>
      <c r="AH226" s="15">
        <v>0</v>
      </c>
      <c r="AI226" s="7">
        <f t="shared" si="105"/>
        <v>0</v>
      </c>
      <c r="AJ226" s="15">
        <v>0</v>
      </c>
      <c r="AK226" s="14">
        <f t="shared" si="106"/>
        <v>0</v>
      </c>
      <c r="AL226" s="15">
        <v>0</v>
      </c>
      <c r="AM226" s="7">
        <f t="shared" si="107"/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7">
        <f t="shared" si="108"/>
        <v>0</v>
      </c>
      <c r="AT226" s="14">
        <f t="shared" si="122"/>
        <v>0</v>
      </c>
      <c r="AU226" s="14">
        <f t="shared" si="123"/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153754</v>
      </c>
      <c r="BQ226" s="15">
        <v>31300</v>
      </c>
      <c r="BR226" s="14">
        <f t="shared" si="124"/>
        <v>185054</v>
      </c>
      <c r="BS226" s="15">
        <v>51300</v>
      </c>
      <c r="BT226" s="15">
        <v>0</v>
      </c>
      <c r="BU226" s="15">
        <v>0</v>
      </c>
      <c r="BV226" s="14">
        <f t="shared" si="125"/>
        <v>51300</v>
      </c>
      <c r="BW226" s="15">
        <v>121758</v>
      </c>
      <c r="BX226" s="15">
        <v>14612</v>
      </c>
      <c r="BY226" s="15">
        <v>121758</v>
      </c>
      <c r="BZ226" s="15">
        <v>55602</v>
      </c>
      <c r="CA226" s="15">
        <v>0</v>
      </c>
      <c r="CB226" s="15">
        <v>313730</v>
      </c>
      <c r="CC226" s="15">
        <v>2011234</v>
      </c>
      <c r="CD226" s="15">
        <v>120676</v>
      </c>
      <c r="CE226" s="15">
        <v>0</v>
      </c>
      <c r="CF226" s="14">
        <f t="shared" si="126"/>
        <v>2131910</v>
      </c>
      <c r="CG226" s="18"/>
      <c r="CH226" s="16"/>
      <c r="CI226" s="17"/>
      <c r="CJ226" s="17"/>
    </row>
    <row r="227" spans="1:88" s="13" customFormat="1" x14ac:dyDescent="0.35">
      <c r="A227" s="13">
        <v>1000329328</v>
      </c>
      <c r="B227" s="17" t="s">
        <v>95</v>
      </c>
      <c r="C227" s="17" t="s">
        <v>83</v>
      </c>
      <c r="D227" s="17" t="s">
        <v>286</v>
      </c>
      <c r="E227" s="17">
        <v>6563</v>
      </c>
      <c r="F227" s="17" t="s">
        <v>84</v>
      </c>
      <c r="G227" s="17" t="s">
        <v>85</v>
      </c>
      <c r="H227" s="17">
        <v>1000329328</v>
      </c>
      <c r="I227" s="17" t="s">
        <v>335</v>
      </c>
      <c r="J227" s="17" t="s">
        <v>94</v>
      </c>
      <c r="K227" s="17">
        <v>0</v>
      </c>
      <c r="L227" s="17">
        <v>0</v>
      </c>
      <c r="M227" s="17" t="s">
        <v>96</v>
      </c>
      <c r="N227" s="19">
        <v>45873</v>
      </c>
      <c r="O227" s="19">
        <v>1</v>
      </c>
      <c r="P227" s="20">
        <v>1423500</v>
      </c>
      <c r="Q227" s="17">
        <v>27</v>
      </c>
      <c r="R227" s="14">
        <f t="shared" si="118"/>
        <v>1281150</v>
      </c>
      <c r="S227" s="15">
        <v>180000</v>
      </c>
      <c r="T227" s="15">
        <v>0</v>
      </c>
      <c r="U227" s="7">
        <f t="shared" si="100"/>
        <v>0</v>
      </c>
      <c r="V227" s="15">
        <v>0</v>
      </c>
      <c r="W227" s="7">
        <f t="shared" si="101"/>
        <v>0</v>
      </c>
      <c r="X227" s="15">
        <v>0</v>
      </c>
      <c r="Y227" s="7">
        <f t="shared" si="119"/>
        <v>0</v>
      </c>
      <c r="Z227" s="15">
        <v>0</v>
      </c>
      <c r="AA227" s="7">
        <f t="shared" si="102"/>
        <v>0</v>
      </c>
      <c r="AB227" s="15">
        <v>0</v>
      </c>
      <c r="AC227" s="14">
        <f t="shared" si="103"/>
        <v>0</v>
      </c>
      <c r="AD227" s="14">
        <f t="shared" si="120"/>
        <v>0</v>
      </c>
      <c r="AE227" s="14">
        <f t="shared" si="121"/>
        <v>0</v>
      </c>
      <c r="AF227" s="15">
        <v>0</v>
      </c>
      <c r="AG227" s="7">
        <f t="shared" si="104"/>
        <v>0</v>
      </c>
      <c r="AH227" s="15">
        <v>0</v>
      </c>
      <c r="AI227" s="7">
        <f t="shared" si="105"/>
        <v>0</v>
      </c>
      <c r="AJ227" s="15">
        <v>0</v>
      </c>
      <c r="AK227" s="14">
        <f t="shared" si="106"/>
        <v>0</v>
      </c>
      <c r="AL227" s="15">
        <v>0</v>
      </c>
      <c r="AM227" s="7">
        <f t="shared" si="107"/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7">
        <f t="shared" si="108"/>
        <v>0</v>
      </c>
      <c r="AT227" s="14">
        <f t="shared" si="122"/>
        <v>0</v>
      </c>
      <c r="AU227" s="14">
        <f t="shared" si="123"/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153754</v>
      </c>
      <c r="BQ227" s="15">
        <v>31300</v>
      </c>
      <c r="BR227" s="14">
        <f t="shared" si="124"/>
        <v>185054</v>
      </c>
      <c r="BS227" s="15">
        <v>51300</v>
      </c>
      <c r="BT227" s="15">
        <v>0</v>
      </c>
      <c r="BU227" s="15">
        <v>0</v>
      </c>
      <c r="BV227" s="14">
        <f t="shared" si="125"/>
        <v>51300</v>
      </c>
      <c r="BW227" s="15">
        <v>121758</v>
      </c>
      <c r="BX227" s="15">
        <v>14612</v>
      </c>
      <c r="BY227" s="15">
        <v>121758</v>
      </c>
      <c r="BZ227" s="15">
        <v>55602</v>
      </c>
      <c r="CA227" s="15">
        <v>0</v>
      </c>
      <c r="CB227" s="15">
        <v>313730</v>
      </c>
      <c r="CC227" s="15">
        <v>2011234</v>
      </c>
      <c r="CD227" s="15">
        <v>120676</v>
      </c>
      <c r="CE227" s="15">
        <v>0</v>
      </c>
      <c r="CF227" s="14">
        <f t="shared" si="126"/>
        <v>2131910</v>
      </c>
      <c r="CG227" s="18"/>
      <c r="CH227" s="16"/>
      <c r="CI227" s="17"/>
      <c r="CJ227" s="17"/>
    </row>
    <row r="228" spans="1:88" s="13" customFormat="1" x14ac:dyDescent="0.35">
      <c r="A228" s="13">
        <v>1073172587</v>
      </c>
      <c r="B228" s="17" t="s">
        <v>95</v>
      </c>
      <c r="C228" s="17" t="s">
        <v>83</v>
      </c>
      <c r="D228" s="17" t="s">
        <v>286</v>
      </c>
      <c r="E228" s="17">
        <v>6563</v>
      </c>
      <c r="F228" s="17" t="s">
        <v>84</v>
      </c>
      <c r="G228" s="17" t="s">
        <v>85</v>
      </c>
      <c r="H228" s="17">
        <v>1073172587</v>
      </c>
      <c r="I228" s="17" t="s">
        <v>336</v>
      </c>
      <c r="J228" s="17" t="s">
        <v>94</v>
      </c>
      <c r="K228" s="17">
        <v>0</v>
      </c>
      <c r="L228" s="17">
        <v>0</v>
      </c>
      <c r="M228" s="17" t="s">
        <v>96</v>
      </c>
      <c r="N228" s="19">
        <v>45873</v>
      </c>
      <c r="O228" s="19">
        <v>45889</v>
      </c>
      <c r="P228" s="20">
        <v>1423500</v>
      </c>
      <c r="Q228" s="17">
        <v>17</v>
      </c>
      <c r="R228" s="14">
        <f t="shared" si="118"/>
        <v>806650</v>
      </c>
      <c r="S228" s="15">
        <v>113333</v>
      </c>
      <c r="T228" s="15">
        <v>0</v>
      </c>
      <c r="U228" s="7">
        <f t="shared" si="100"/>
        <v>0</v>
      </c>
      <c r="V228" s="15">
        <v>0</v>
      </c>
      <c r="W228" s="7">
        <f t="shared" si="101"/>
        <v>0</v>
      </c>
      <c r="X228" s="15">
        <v>0</v>
      </c>
      <c r="Y228" s="7">
        <f t="shared" si="119"/>
        <v>0</v>
      </c>
      <c r="Z228" s="15">
        <v>0</v>
      </c>
      <c r="AA228" s="7">
        <f t="shared" si="102"/>
        <v>0</v>
      </c>
      <c r="AB228" s="15">
        <v>0</v>
      </c>
      <c r="AC228" s="14">
        <f t="shared" si="103"/>
        <v>0</v>
      </c>
      <c r="AD228" s="14">
        <f t="shared" si="120"/>
        <v>0</v>
      </c>
      <c r="AE228" s="14">
        <f t="shared" si="121"/>
        <v>0</v>
      </c>
      <c r="AF228" s="15">
        <v>0</v>
      </c>
      <c r="AG228" s="7">
        <f t="shared" si="104"/>
        <v>0</v>
      </c>
      <c r="AH228" s="15">
        <v>0</v>
      </c>
      <c r="AI228" s="7">
        <f t="shared" si="105"/>
        <v>0</v>
      </c>
      <c r="AJ228" s="15">
        <v>0</v>
      </c>
      <c r="AK228" s="14">
        <f t="shared" si="106"/>
        <v>0</v>
      </c>
      <c r="AL228" s="15">
        <v>0</v>
      </c>
      <c r="AM228" s="7">
        <f t="shared" si="107"/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7">
        <f t="shared" si="108"/>
        <v>0</v>
      </c>
      <c r="AT228" s="14">
        <f t="shared" si="122"/>
        <v>0</v>
      </c>
      <c r="AU228" s="14">
        <f t="shared" si="123"/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96834</v>
      </c>
      <c r="BQ228" s="15">
        <v>19700</v>
      </c>
      <c r="BR228" s="14">
        <f t="shared" si="124"/>
        <v>116534</v>
      </c>
      <c r="BS228" s="15">
        <v>32300</v>
      </c>
      <c r="BT228" s="15">
        <v>0</v>
      </c>
      <c r="BU228" s="15">
        <v>0</v>
      </c>
      <c r="BV228" s="14">
        <f t="shared" si="125"/>
        <v>32300</v>
      </c>
      <c r="BW228" s="15">
        <v>76662</v>
      </c>
      <c r="BX228" s="15">
        <v>9200</v>
      </c>
      <c r="BY228" s="15">
        <v>76662</v>
      </c>
      <c r="BZ228" s="15">
        <v>35008</v>
      </c>
      <c r="CA228" s="15">
        <v>0</v>
      </c>
      <c r="CB228" s="15">
        <v>197532</v>
      </c>
      <c r="CC228" s="15">
        <v>1266349</v>
      </c>
      <c r="CD228" s="15">
        <v>75982</v>
      </c>
      <c r="CE228" s="15">
        <v>0</v>
      </c>
      <c r="CF228" s="14">
        <f t="shared" si="126"/>
        <v>1342331</v>
      </c>
      <c r="CG228" s="18"/>
      <c r="CH228" s="16"/>
      <c r="CI228" s="17"/>
      <c r="CJ228" s="17"/>
    </row>
    <row r="229" spans="1:88" s="13" customFormat="1" x14ac:dyDescent="0.35">
      <c r="A229" s="13">
        <v>1102831424</v>
      </c>
      <c r="B229" s="17" t="s">
        <v>95</v>
      </c>
      <c r="C229" s="17" t="s">
        <v>83</v>
      </c>
      <c r="D229" s="17" t="s">
        <v>286</v>
      </c>
      <c r="E229" s="17">
        <v>6563</v>
      </c>
      <c r="F229" s="17" t="s">
        <v>84</v>
      </c>
      <c r="G229" s="17" t="s">
        <v>85</v>
      </c>
      <c r="H229" s="17">
        <v>1102831424</v>
      </c>
      <c r="I229" s="17" t="s">
        <v>337</v>
      </c>
      <c r="J229" s="17" t="s">
        <v>94</v>
      </c>
      <c r="K229" s="17">
        <v>0</v>
      </c>
      <c r="L229" s="17">
        <v>0</v>
      </c>
      <c r="M229" s="17" t="s">
        <v>96</v>
      </c>
      <c r="N229" s="19">
        <v>45873</v>
      </c>
      <c r="O229" s="19">
        <v>1</v>
      </c>
      <c r="P229" s="20">
        <v>1423500</v>
      </c>
      <c r="Q229" s="17">
        <v>27</v>
      </c>
      <c r="R229" s="14">
        <f t="shared" si="118"/>
        <v>1281150</v>
      </c>
      <c r="S229" s="15">
        <v>180000</v>
      </c>
      <c r="T229" s="15">
        <v>0</v>
      </c>
      <c r="U229" s="7">
        <f t="shared" si="100"/>
        <v>0</v>
      </c>
      <c r="V229" s="15">
        <v>0</v>
      </c>
      <c r="W229" s="7">
        <f t="shared" si="101"/>
        <v>0</v>
      </c>
      <c r="X229" s="15">
        <v>0</v>
      </c>
      <c r="Y229" s="7">
        <f t="shared" si="119"/>
        <v>0</v>
      </c>
      <c r="Z229" s="15">
        <v>0</v>
      </c>
      <c r="AA229" s="7">
        <f t="shared" si="102"/>
        <v>0</v>
      </c>
      <c r="AB229" s="15">
        <v>0</v>
      </c>
      <c r="AC229" s="14">
        <f t="shared" si="103"/>
        <v>0</v>
      </c>
      <c r="AD229" s="14">
        <f t="shared" si="120"/>
        <v>0</v>
      </c>
      <c r="AE229" s="14">
        <f t="shared" si="121"/>
        <v>0</v>
      </c>
      <c r="AF229" s="15">
        <v>0</v>
      </c>
      <c r="AG229" s="7">
        <f t="shared" si="104"/>
        <v>0</v>
      </c>
      <c r="AH229" s="15">
        <v>0</v>
      </c>
      <c r="AI229" s="7">
        <f t="shared" si="105"/>
        <v>0</v>
      </c>
      <c r="AJ229" s="15">
        <v>0</v>
      </c>
      <c r="AK229" s="14">
        <f t="shared" si="106"/>
        <v>0</v>
      </c>
      <c r="AL229" s="15">
        <v>0</v>
      </c>
      <c r="AM229" s="7">
        <f t="shared" si="107"/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7">
        <f t="shared" si="108"/>
        <v>0</v>
      </c>
      <c r="AT229" s="14">
        <f t="shared" si="122"/>
        <v>0</v>
      </c>
      <c r="AU229" s="14">
        <f t="shared" si="123"/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153754</v>
      </c>
      <c r="BQ229" s="15">
        <v>31300</v>
      </c>
      <c r="BR229" s="14">
        <f t="shared" si="124"/>
        <v>185054</v>
      </c>
      <c r="BS229" s="15">
        <v>51300</v>
      </c>
      <c r="BT229" s="15">
        <v>0</v>
      </c>
      <c r="BU229" s="15">
        <v>0</v>
      </c>
      <c r="BV229" s="14">
        <f t="shared" si="125"/>
        <v>51300</v>
      </c>
      <c r="BW229" s="15">
        <v>121758</v>
      </c>
      <c r="BX229" s="15">
        <v>14612</v>
      </c>
      <c r="BY229" s="15">
        <v>121758</v>
      </c>
      <c r="BZ229" s="15">
        <v>55602</v>
      </c>
      <c r="CA229" s="15">
        <v>0</v>
      </c>
      <c r="CB229" s="15">
        <v>313730</v>
      </c>
      <c r="CC229" s="15">
        <v>2011234</v>
      </c>
      <c r="CD229" s="15">
        <v>120676</v>
      </c>
      <c r="CE229" s="15">
        <v>0</v>
      </c>
      <c r="CF229" s="14">
        <f t="shared" si="126"/>
        <v>2131910</v>
      </c>
      <c r="CG229" s="18"/>
      <c r="CH229" s="16"/>
      <c r="CI229" s="17"/>
      <c r="CJ229" s="17"/>
    </row>
    <row r="230" spans="1:88" s="13" customFormat="1" x14ac:dyDescent="0.35">
      <c r="A230" s="13">
        <v>1099734167</v>
      </c>
      <c r="B230" s="17" t="s">
        <v>95</v>
      </c>
      <c r="C230" s="17" t="s">
        <v>83</v>
      </c>
      <c r="D230" s="17" t="s">
        <v>286</v>
      </c>
      <c r="E230" s="17">
        <v>6563</v>
      </c>
      <c r="F230" s="17" t="s">
        <v>84</v>
      </c>
      <c r="G230" s="17" t="s">
        <v>85</v>
      </c>
      <c r="H230" s="17">
        <v>1099734167</v>
      </c>
      <c r="I230" s="17" t="s">
        <v>338</v>
      </c>
      <c r="J230" s="17" t="s">
        <v>94</v>
      </c>
      <c r="K230" s="17">
        <v>0</v>
      </c>
      <c r="L230" s="17">
        <v>0</v>
      </c>
      <c r="M230" s="17" t="s">
        <v>96</v>
      </c>
      <c r="N230" s="19">
        <v>45873</v>
      </c>
      <c r="O230" s="19">
        <v>1</v>
      </c>
      <c r="P230" s="20">
        <v>1423500</v>
      </c>
      <c r="Q230" s="17">
        <v>27</v>
      </c>
      <c r="R230" s="14">
        <f t="shared" si="118"/>
        <v>1281150</v>
      </c>
      <c r="S230" s="15">
        <v>180000</v>
      </c>
      <c r="T230" s="15">
        <v>0</v>
      </c>
      <c r="U230" s="7">
        <f t="shared" si="100"/>
        <v>0</v>
      </c>
      <c r="V230" s="15">
        <v>0</v>
      </c>
      <c r="W230" s="7">
        <f t="shared" si="101"/>
        <v>0</v>
      </c>
      <c r="X230" s="15">
        <v>0</v>
      </c>
      <c r="Y230" s="7">
        <f t="shared" si="119"/>
        <v>0</v>
      </c>
      <c r="Z230" s="15">
        <v>0</v>
      </c>
      <c r="AA230" s="7">
        <f t="shared" si="102"/>
        <v>0</v>
      </c>
      <c r="AB230" s="15">
        <v>0</v>
      </c>
      <c r="AC230" s="14">
        <f t="shared" si="103"/>
        <v>0</v>
      </c>
      <c r="AD230" s="14">
        <f t="shared" si="120"/>
        <v>0</v>
      </c>
      <c r="AE230" s="14">
        <f t="shared" si="121"/>
        <v>0</v>
      </c>
      <c r="AF230" s="15">
        <v>0</v>
      </c>
      <c r="AG230" s="7">
        <f t="shared" si="104"/>
        <v>0</v>
      </c>
      <c r="AH230" s="15">
        <v>0</v>
      </c>
      <c r="AI230" s="7">
        <f t="shared" si="105"/>
        <v>0</v>
      </c>
      <c r="AJ230" s="15">
        <v>0</v>
      </c>
      <c r="AK230" s="14">
        <f t="shared" si="106"/>
        <v>0</v>
      </c>
      <c r="AL230" s="15">
        <v>0</v>
      </c>
      <c r="AM230" s="7">
        <f t="shared" si="107"/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7">
        <f t="shared" si="108"/>
        <v>0</v>
      </c>
      <c r="AT230" s="14">
        <f t="shared" si="122"/>
        <v>0</v>
      </c>
      <c r="AU230" s="14">
        <f t="shared" si="123"/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153754</v>
      </c>
      <c r="BQ230" s="15">
        <v>31300</v>
      </c>
      <c r="BR230" s="14">
        <f t="shared" si="124"/>
        <v>185054</v>
      </c>
      <c r="BS230" s="15">
        <v>51300</v>
      </c>
      <c r="BT230" s="15">
        <v>0</v>
      </c>
      <c r="BU230" s="15">
        <v>0</v>
      </c>
      <c r="BV230" s="14">
        <f t="shared" si="125"/>
        <v>51300</v>
      </c>
      <c r="BW230" s="15">
        <v>121758</v>
      </c>
      <c r="BX230" s="15">
        <v>14612</v>
      </c>
      <c r="BY230" s="15">
        <v>121758</v>
      </c>
      <c r="BZ230" s="15">
        <v>55602</v>
      </c>
      <c r="CA230" s="15">
        <v>0</v>
      </c>
      <c r="CB230" s="15">
        <v>313730</v>
      </c>
      <c r="CC230" s="15">
        <v>2011234</v>
      </c>
      <c r="CD230" s="15">
        <v>120676</v>
      </c>
      <c r="CE230" s="15">
        <v>0</v>
      </c>
      <c r="CF230" s="14">
        <f t="shared" si="126"/>
        <v>2131910</v>
      </c>
      <c r="CG230" s="18"/>
      <c r="CH230" s="16"/>
      <c r="CI230" s="17"/>
      <c r="CJ230" s="17"/>
    </row>
    <row r="231" spans="1:88" s="13" customFormat="1" x14ac:dyDescent="0.35">
      <c r="A231" s="13">
        <v>4912582</v>
      </c>
      <c r="B231" s="17" t="s">
        <v>95</v>
      </c>
      <c r="C231" s="17" t="s">
        <v>83</v>
      </c>
      <c r="D231" s="17" t="s">
        <v>286</v>
      </c>
      <c r="E231" s="17">
        <v>6563</v>
      </c>
      <c r="F231" s="17" t="s">
        <v>84</v>
      </c>
      <c r="G231" s="17" t="s">
        <v>85</v>
      </c>
      <c r="H231" s="17">
        <v>4912582</v>
      </c>
      <c r="I231" s="17" t="s">
        <v>339</v>
      </c>
      <c r="J231" s="17" t="s">
        <v>94</v>
      </c>
      <c r="K231" s="17">
        <v>0</v>
      </c>
      <c r="L231" s="17">
        <v>0</v>
      </c>
      <c r="M231" s="17" t="s">
        <v>96</v>
      </c>
      <c r="N231" s="19">
        <v>45873</v>
      </c>
      <c r="O231" s="19">
        <v>1</v>
      </c>
      <c r="P231" s="20">
        <v>1423500</v>
      </c>
      <c r="Q231" s="17">
        <v>27</v>
      </c>
      <c r="R231" s="14">
        <f t="shared" si="118"/>
        <v>1281150</v>
      </c>
      <c r="S231" s="15">
        <v>180000</v>
      </c>
      <c r="T231" s="15">
        <v>0</v>
      </c>
      <c r="U231" s="7">
        <f t="shared" si="100"/>
        <v>0</v>
      </c>
      <c r="V231" s="15">
        <v>0</v>
      </c>
      <c r="W231" s="7">
        <f t="shared" si="101"/>
        <v>0</v>
      </c>
      <c r="X231" s="15">
        <v>0</v>
      </c>
      <c r="Y231" s="7">
        <f t="shared" si="119"/>
        <v>0</v>
      </c>
      <c r="Z231" s="15">
        <v>0</v>
      </c>
      <c r="AA231" s="7">
        <f t="shared" si="102"/>
        <v>0</v>
      </c>
      <c r="AB231" s="15">
        <v>0</v>
      </c>
      <c r="AC231" s="14">
        <f t="shared" si="103"/>
        <v>0</v>
      </c>
      <c r="AD231" s="14">
        <f t="shared" si="120"/>
        <v>0</v>
      </c>
      <c r="AE231" s="14">
        <f t="shared" si="121"/>
        <v>0</v>
      </c>
      <c r="AF231" s="15">
        <v>0</v>
      </c>
      <c r="AG231" s="7">
        <f t="shared" si="104"/>
        <v>0</v>
      </c>
      <c r="AH231" s="15">
        <v>0</v>
      </c>
      <c r="AI231" s="7">
        <f t="shared" si="105"/>
        <v>0</v>
      </c>
      <c r="AJ231" s="15">
        <v>0</v>
      </c>
      <c r="AK231" s="14">
        <f t="shared" si="106"/>
        <v>0</v>
      </c>
      <c r="AL231" s="15">
        <v>0</v>
      </c>
      <c r="AM231" s="7">
        <f t="shared" si="107"/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7">
        <f t="shared" si="108"/>
        <v>0</v>
      </c>
      <c r="AT231" s="14">
        <f t="shared" si="122"/>
        <v>0</v>
      </c>
      <c r="AU231" s="14">
        <f t="shared" si="123"/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153754</v>
      </c>
      <c r="BQ231" s="15">
        <v>31300</v>
      </c>
      <c r="BR231" s="14">
        <f t="shared" si="124"/>
        <v>185054</v>
      </c>
      <c r="BS231" s="15">
        <v>51300</v>
      </c>
      <c r="BT231" s="15">
        <v>0</v>
      </c>
      <c r="BU231" s="15">
        <v>0</v>
      </c>
      <c r="BV231" s="14">
        <f t="shared" si="125"/>
        <v>51300</v>
      </c>
      <c r="BW231" s="15">
        <v>121758</v>
      </c>
      <c r="BX231" s="15">
        <v>14612</v>
      </c>
      <c r="BY231" s="15">
        <v>121758</v>
      </c>
      <c r="BZ231" s="15">
        <v>55602</v>
      </c>
      <c r="CA231" s="15">
        <v>0</v>
      </c>
      <c r="CB231" s="15">
        <v>313730</v>
      </c>
      <c r="CC231" s="15">
        <v>2011234</v>
      </c>
      <c r="CD231" s="15">
        <v>120676</v>
      </c>
      <c r="CE231" s="15">
        <v>0</v>
      </c>
      <c r="CF231" s="14">
        <f t="shared" si="126"/>
        <v>2131910</v>
      </c>
      <c r="CG231" s="18"/>
      <c r="CH231" s="16"/>
      <c r="CI231" s="17"/>
      <c r="CJ231" s="17"/>
    </row>
    <row r="232" spans="1:88" s="13" customFormat="1" x14ac:dyDescent="0.35">
      <c r="A232" s="13">
        <v>4969502</v>
      </c>
      <c r="B232" s="17" t="s">
        <v>95</v>
      </c>
      <c r="C232" s="17" t="s">
        <v>83</v>
      </c>
      <c r="D232" s="17" t="s">
        <v>286</v>
      </c>
      <c r="E232" s="17">
        <v>6563</v>
      </c>
      <c r="F232" s="17" t="s">
        <v>84</v>
      </c>
      <c r="G232" s="17" t="s">
        <v>85</v>
      </c>
      <c r="H232" s="17">
        <v>4969502</v>
      </c>
      <c r="I232" s="17" t="s">
        <v>340</v>
      </c>
      <c r="J232" s="17" t="s">
        <v>94</v>
      </c>
      <c r="K232" s="17">
        <v>0</v>
      </c>
      <c r="L232" s="17">
        <v>0</v>
      </c>
      <c r="M232" s="17" t="s">
        <v>96</v>
      </c>
      <c r="N232" s="19">
        <v>45873</v>
      </c>
      <c r="O232" s="19">
        <v>1</v>
      </c>
      <c r="P232" s="20">
        <v>1423500</v>
      </c>
      <c r="Q232" s="17">
        <v>27</v>
      </c>
      <c r="R232" s="14">
        <f t="shared" si="118"/>
        <v>1281150</v>
      </c>
      <c r="S232" s="15">
        <v>180000</v>
      </c>
      <c r="T232" s="15">
        <v>0</v>
      </c>
      <c r="U232" s="7">
        <f t="shared" si="100"/>
        <v>0</v>
      </c>
      <c r="V232" s="15">
        <v>0</v>
      </c>
      <c r="W232" s="7">
        <f t="shared" si="101"/>
        <v>0</v>
      </c>
      <c r="X232" s="15">
        <v>0</v>
      </c>
      <c r="Y232" s="7">
        <f t="shared" si="119"/>
        <v>0</v>
      </c>
      <c r="Z232" s="15">
        <v>0</v>
      </c>
      <c r="AA232" s="7">
        <f t="shared" si="102"/>
        <v>0</v>
      </c>
      <c r="AB232" s="15">
        <v>0</v>
      </c>
      <c r="AC232" s="14">
        <f t="shared" si="103"/>
        <v>0</v>
      </c>
      <c r="AD232" s="14">
        <f t="shared" si="120"/>
        <v>0</v>
      </c>
      <c r="AE232" s="14">
        <f t="shared" si="121"/>
        <v>0</v>
      </c>
      <c r="AF232" s="15">
        <v>0</v>
      </c>
      <c r="AG232" s="7">
        <f t="shared" si="104"/>
        <v>0</v>
      </c>
      <c r="AH232" s="15">
        <v>0</v>
      </c>
      <c r="AI232" s="7">
        <f t="shared" si="105"/>
        <v>0</v>
      </c>
      <c r="AJ232" s="15">
        <v>0</v>
      </c>
      <c r="AK232" s="14">
        <f t="shared" si="106"/>
        <v>0</v>
      </c>
      <c r="AL232" s="15">
        <v>0</v>
      </c>
      <c r="AM232" s="7">
        <f t="shared" si="107"/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7">
        <f t="shared" si="108"/>
        <v>0</v>
      </c>
      <c r="AT232" s="14">
        <f t="shared" si="122"/>
        <v>0</v>
      </c>
      <c r="AU232" s="14">
        <f t="shared" si="123"/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153754</v>
      </c>
      <c r="BQ232" s="15">
        <v>31300</v>
      </c>
      <c r="BR232" s="14">
        <f t="shared" si="124"/>
        <v>185054</v>
      </c>
      <c r="BS232" s="15">
        <v>51300</v>
      </c>
      <c r="BT232" s="15">
        <v>0</v>
      </c>
      <c r="BU232" s="15">
        <v>0</v>
      </c>
      <c r="BV232" s="14">
        <f t="shared" si="125"/>
        <v>51300</v>
      </c>
      <c r="BW232" s="15">
        <v>121758</v>
      </c>
      <c r="BX232" s="15">
        <v>14612</v>
      </c>
      <c r="BY232" s="15">
        <v>121758</v>
      </c>
      <c r="BZ232" s="15">
        <v>55602</v>
      </c>
      <c r="CA232" s="15">
        <v>0</v>
      </c>
      <c r="CB232" s="15">
        <v>313730</v>
      </c>
      <c r="CC232" s="15">
        <v>2011234</v>
      </c>
      <c r="CD232" s="15">
        <v>120676</v>
      </c>
      <c r="CE232" s="15">
        <v>0</v>
      </c>
      <c r="CF232" s="14">
        <f t="shared" si="126"/>
        <v>2131910</v>
      </c>
      <c r="CG232" s="18"/>
      <c r="CH232" s="16"/>
      <c r="CI232" s="17"/>
      <c r="CJ232" s="17"/>
    </row>
    <row r="233" spans="1:88" s="13" customFormat="1" x14ac:dyDescent="0.35">
      <c r="A233" s="13">
        <v>1007096671</v>
      </c>
      <c r="B233" s="17" t="s">
        <v>95</v>
      </c>
      <c r="C233" s="17" t="s">
        <v>83</v>
      </c>
      <c r="D233" s="17" t="s">
        <v>286</v>
      </c>
      <c r="E233" s="17">
        <v>6563</v>
      </c>
      <c r="F233" s="17" t="s">
        <v>84</v>
      </c>
      <c r="G233" s="17" t="s">
        <v>85</v>
      </c>
      <c r="H233" s="17">
        <v>1007096671</v>
      </c>
      <c r="I233" s="17" t="s">
        <v>341</v>
      </c>
      <c r="J233" s="17" t="s">
        <v>94</v>
      </c>
      <c r="K233" s="17">
        <v>0</v>
      </c>
      <c r="L233" s="17">
        <v>0</v>
      </c>
      <c r="M233" s="17" t="s">
        <v>96</v>
      </c>
      <c r="N233" s="19">
        <v>45873</v>
      </c>
      <c r="O233" s="19">
        <v>1</v>
      </c>
      <c r="P233" s="20">
        <v>1423500</v>
      </c>
      <c r="Q233" s="17">
        <v>27</v>
      </c>
      <c r="R233" s="14">
        <f t="shared" si="118"/>
        <v>1281150</v>
      </c>
      <c r="S233" s="15">
        <v>180000</v>
      </c>
      <c r="T233" s="15">
        <v>0</v>
      </c>
      <c r="U233" s="7">
        <f t="shared" si="100"/>
        <v>0</v>
      </c>
      <c r="V233" s="15">
        <v>0</v>
      </c>
      <c r="W233" s="7">
        <f t="shared" si="101"/>
        <v>0</v>
      </c>
      <c r="X233" s="15">
        <v>0</v>
      </c>
      <c r="Y233" s="7">
        <f t="shared" si="119"/>
        <v>0</v>
      </c>
      <c r="Z233" s="15">
        <v>0</v>
      </c>
      <c r="AA233" s="7">
        <f t="shared" si="102"/>
        <v>0</v>
      </c>
      <c r="AB233" s="15">
        <v>0</v>
      </c>
      <c r="AC233" s="14">
        <f t="shared" si="103"/>
        <v>0</v>
      </c>
      <c r="AD233" s="14">
        <f t="shared" si="120"/>
        <v>0</v>
      </c>
      <c r="AE233" s="14">
        <f t="shared" si="121"/>
        <v>0</v>
      </c>
      <c r="AF233" s="15">
        <v>0</v>
      </c>
      <c r="AG233" s="7">
        <f t="shared" si="104"/>
        <v>0</v>
      </c>
      <c r="AH233" s="15">
        <v>0</v>
      </c>
      <c r="AI233" s="7">
        <f t="shared" si="105"/>
        <v>0</v>
      </c>
      <c r="AJ233" s="15">
        <v>0</v>
      </c>
      <c r="AK233" s="14">
        <f t="shared" si="106"/>
        <v>0</v>
      </c>
      <c r="AL233" s="15">
        <v>0</v>
      </c>
      <c r="AM233" s="7">
        <f t="shared" si="107"/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7">
        <f t="shared" si="108"/>
        <v>0</v>
      </c>
      <c r="AT233" s="14">
        <f t="shared" si="122"/>
        <v>0</v>
      </c>
      <c r="AU233" s="14">
        <f t="shared" si="123"/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153754</v>
      </c>
      <c r="BQ233" s="15">
        <v>31300</v>
      </c>
      <c r="BR233" s="14">
        <f t="shared" si="124"/>
        <v>185054</v>
      </c>
      <c r="BS233" s="15">
        <v>51300</v>
      </c>
      <c r="BT233" s="15">
        <v>0</v>
      </c>
      <c r="BU233" s="15">
        <v>0</v>
      </c>
      <c r="BV233" s="14">
        <f t="shared" si="125"/>
        <v>51300</v>
      </c>
      <c r="BW233" s="15">
        <v>121758</v>
      </c>
      <c r="BX233" s="15">
        <v>14612</v>
      </c>
      <c r="BY233" s="15">
        <v>121758</v>
      </c>
      <c r="BZ233" s="15">
        <v>55602</v>
      </c>
      <c r="CA233" s="15">
        <v>0</v>
      </c>
      <c r="CB233" s="15">
        <v>313730</v>
      </c>
      <c r="CC233" s="15">
        <v>2011234</v>
      </c>
      <c r="CD233" s="15">
        <v>120676</v>
      </c>
      <c r="CE233" s="15">
        <v>0</v>
      </c>
      <c r="CF233" s="14">
        <f t="shared" si="126"/>
        <v>2131910</v>
      </c>
      <c r="CG233" s="18"/>
      <c r="CH233" s="16"/>
      <c r="CI233" s="17"/>
      <c r="CJ233" s="17"/>
    </row>
    <row r="234" spans="1:88" s="13" customFormat="1" x14ac:dyDescent="0.35">
      <c r="A234" s="13">
        <v>985763</v>
      </c>
      <c r="B234" s="17" t="s">
        <v>95</v>
      </c>
      <c r="C234" s="17" t="s">
        <v>83</v>
      </c>
      <c r="D234" s="17" t="s">
        <v>286</v>
      </c>
      <c r="E234" s="17">
        <v>6563</v>
      </c>
      <c r="F234" s="17" t="s">
        <v>84</v>
      </c>
      <c r="G234" s="17" t="s">
        <v>85</v>
      </c>
      <c r="H234" s="17">
        <v>985763</v>
      </c>
      <c r="I234" s="17" t="s">
        <v>342</v>
      </c>
      <c r="J234" s="17" t="s">
        <v>94</v>
      </c>
      <c r="K234" s="17">
        <v>0</v>
      </c>
      <c r="L234" s="17">
        <v>0</v>
      </c>
      <c r="M234" s="17" t="s">
        <v>96</v>
      </c>
      <c r="N234" s="19">
        <v>45873</v>
      </c>
      <c r="O234" s="19">
        <v>1</v>
      </c>
      <c r="P234" s="20">
        <v>1423500</v>
      </c>
      <c r="Q234" s="17">
        <v>27</v>
      </c>
      <c r="R234" s="14">
        <f t="shared" si="118"/>
        <v>1281150</v>
      </c>
      <c r="S234" s="15">
        <v>180000</v>
      </c>
      <c r="T234" s="15">
        <v>0</v>
      </c>
      <c r="U234" s="7">
        <f t="shared" si="100"/>
        <v>0</v>
      </c>
      <c r="V234" s="15">
        <v>0</v>
      </c>
      <c r="W234" s="7">
        <f t="shared" si="101"/>
        <v>0</v>
      </c>
      <c r="X234" s="15">
        <v>0</v>
      </c>
      <c r="Y234" s="7">
        <f t="shared" si="119"/>
        <v>0</v>
      </c>
      <c r="Z234" s="15">
        <v>0</v>
      </c>
      <c r="AA234" s="7">
        <f t="shared" si="102"/>
        <v>0</v>
      </c>
      <c r="AB234" s="15">
        <v>0</v>
      </c>
      <c r="AC234" s="14">
        <f t="shared" si="103"/>
        <v>0</v>
      </c>
      <c r="AD234" s="14">
        <f t="shared" si="120"/>
        <v>0</v>
      </c>
      <c r="AE234" s="14">
        <f t="shared" si="121"/>
        <v>0</v>
      </c>
      <c r="AF234" s="15">
        <v>0</v>
      </c>
      <c r="AG234" s="7">
        <f t="shared" si="104"/>
        <v>0</v>
      </c>
      <c r="AH234" s="15">
        <v>0</v>
      </c>
      <c r="AI234" s="7">
        <f t="shared" si="105"/>
        <v>0</v>
      </c>
      <c r="AJ234" s="15">
        <v>0</v>
      </c>
      <c r="AK234" s="14">
        <f t="shared" si="106"/>
        <v>0</v>
      </c>
      <c r="AL234" s="15">
        <v>0</v>
      </c>
      <c r="AM234" s="7">
        <f t="shared" si="107"/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7">
        <f t="shared" si="108"/>
        <v>0</v>
      </c>
      <c r="AT234" s="14">
        <f t="shared" si="122"/>
        <v>0</v>
      </c>
      <c r="AU234" s="14">
        <f t="shared" si="123"/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0</v>
      </c>
      <c r="BP234" s="15">
        <v>153754</v>
      </c>
      <c r="BQ234" s="15">
        <v>31300</v>
      </c>
      <c r="BR234" s="14">
        <f t="shared" si="124"/>
        <v>185054</v>
      </c>
      <c r="BS234" s="15">
        <v>51300</v>
      </c>
      <c r="BT234" s="15">
        <v>0</v>
      </c>
      <c r="BU234" s="15">
        <v>0</v>
      </c>
      <c r="BV234" s="14">
        <f t="shared" si="125"/>
        <v>51300</v>
      </c>
      <c r="BW234" s="15">
        <v>121758</v>
      </c>
      <c r="BX234" s="15">
        <v>14612</v>
      </c>
      <c r="BY234" s="15">
        <v>121758</v>
      </c>
      <c r="BZ234" s="15">
        <v>55602</v>
      </c>
      <c r="CA234" s="15">
        <v>0</v>
      </c>
      <c r="CB234" s="15">
        <v>313730</v>
      </c>
      <c r="CC234" s="15">
        <v>2011234</v>
      </c>
      <c r="CD234" s="15">
        <v>120676</v>
      </c>
      <c r="CE234" s="15">
        <v>0</v>
      </c>
      <c r="CF234" s="14">
        <f t="shared" si="126"/>
        <v>2131910</v>
      </c>
      <c r="CG234" s="18"/>
      <c r="CH234" s="16"/>
      <c r="CI234" s="17"/>
      <c r="CJ234" s="17"/>
    </row>
    <row r="235" spans="1:88" s="13" customFormat="1" x14ac:dyDescent="0.35">
      <c r="A235" s="13">
        <v>1070981903</v>
      </c>
      <c r="B235" s="17" t="s">
        <v>95</v>
      </c>
      <c r="C235" s="17" t="s">
        <v>83</v>
      </c>
      <c r="D235" s="17" t="s">
        <v>286</v>
      </c>
      <c r="E235" s="17">
        <v>6563</v>
      </c>
      <c r="F235" s="17" t="s">
        <v>84</v>
      </c>
      <c r="G235" s="17" t="s">
        <v>85</v>
      </c>
      <c r="H235" s="17">
        <v>1070981903</v>
      </c>
      <c r="I235" s="17" t="s">
        <v>343</v>
      </c>
      <c r="J235" s="17" t="s">
        <v>94</v>
      </c>
      <c r="K235" s="17">
        <v>0</v>
      </c>
      <c r="L235" s="17">
        <v>0</v>
      </c>
      <c r="M235" s="17" t="s">
        <v>96</v>
      </c>
      <c r="N235" s="19">
        <v>45873</v>
      </c>
      <c r="O235" s="19">
        <v>1</v>
      </c>
      <c r="P235" s="20">
        <v>1423500</v>
      </c>
      <c r="Q235" s="17">
        <v>27</v>
      </c>
      <c r="R235" s="14">
        <f t="shared" si="118"/>
        <v>1281150</v>
      </c>
      <c r="S235" s="15">
        <v>180000</v>
      </c>
      <c r="T235" s="15">
        <v>0</v>
      </c>
      <c r="U235" s="7">
        <f t="shared" si="100"/>
        <v>0</v>
      </c>
      <c r="V235" s="15">
        <v>0</v>
      </c>
      <c r="W235" s="7">
        <f t="shared" si="101"/>
        <v>0</v>
      </c>
      <c r="X235" s="15">
        <v>0</v>
      </c>
      <c r="Y235" s="7">
        <f t="shared" si="119"/>
        <v>0</v>
      </c>
      <c r="Z235" s="15">
        <v>0</v>
      </c>
      <c r="AA235" s="7">
        <f t="shared" si="102"/>
        <v>0</v>
      </c>
      <c r="AB235" s="15">
        <v>0</v>
      </c>
      <c r="AC235" s="14">
        <f t="shared" si="103"/>
        <v>0</v>
      </c>
      <c r="AD235" s="14">
        <f t="shared" si="120"/>
        <v>0</v>
      </c>
      <c r="AE235" s="14">
        <f t="shared" si="121"/>
        <v>0</v>
      </c>
      <c r="AF235" s="15">
        <v>0</v>
      </c>
      <c r="AG235" s="7">
        <f t="shared" si="104"/>
        <v>0</v>
      </c>
      <c r="AH235" s="15">
        <v>0</v>
      </c>
      <c r="AI235" s="7">
        <f t="shared" si="105"/>
        <v>0</v>
      </c>
      <c r="AJ235" s="15">
        <v>0</v>
      </c>
      <c r="AK235" s="14">
        <f t="shared" si="106"/>
        <v>0</v>
      </c>
      <c r="AL235" s="15">
        <v>0</v>
      </c>
      <c r="AM235" s="7">
        <f t="shared" si="107"/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7">
        <f t="shared" si="108"/>
        <v>0</v>
      </c>
      <c r="AT235" s="14">
        <f t="shared" si="122"/>
        <v>0</v>
      </c>
      <c r="AU235" s="14">
        <f t="shared" si="123"/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153754</v>
      </c>
      <c r="BQ235" s="15">
        <v>31300</v>
      </c>
      <c r="BR235" s="14">
        <f t="shared" si="124"/>
        <v>185054</v>
      </c>
      <c r="BS235" s="15">
        <v>51300</v>
      </c>
      <c r="BT235" s="15">
        <v>0</v>
      </c>
      <c r="BU235" s="15">
        <v>0</v>
      </c>
      <c r="BV235" s="14">
        <f t="shared" si="125"/>
        <v>51300</v>
      </c>
      <c r="BW235" s="15">
        <v>121758</v>
      </c>
      <c r="BX235" s="15">
        <v>14612</v>
      </c>
      <c r="BY235" s="15">
        <v>121758</v>
      </c>
      <c r="BZ235" s="15">
        <v>55602</v>
      </c>
      <c r="CA235" s="15">
        <v>0</v>
      </c>
      <c r="CB235" s="15">
        <v>313730</v>
      </c>
      <c r="CC235" s="15">
        <v>2011234</v>
      </c>
      <c r="CD235" s="15">
        <v>120676</v>
      </c>
      <c r="CE235" s="15">
        <v>0</v>
      </c>
      <c r="CF235" s="14">
        <f t="shared" si="126"/>
        <v>2131910</v>
      </c>
      <c r="CG235" s="18"/>
      <c r="CH235" s="16"/>
      <c r="CI235" s="17"/>
      <c r="CJ235" s="17"/>
    </row>
    <row r="236" spans="1:88" s="13" customFormat="1" x14ac:dyDescent="0.35">
      <c r="A236" s="13">
        <v>1073508887</v>
      </c>
      <c r="B236" s="17" t="s">
        <v>95</v>
      </c>
      <c r="C236" s="17" t="s">
        <v>83</v>
      </c>
      <c r="D236" s="17" t="s">
        <v>286</v>
      </c>
      <c r="E236" s="17">
        <v>6563</v>
      </c>
      <c r="F236" s="17" t="s">
        <v>84</v>
      </c>
      <c r="G236" s="17" t="s">
        <v>85</v>
      </c>
      <c r="H236" s="17">
        <v>1073508887</v>
      </c>
      <c r="I236" s="17" t="s">
        <v>344</v>
      </c>
      <c r="J236" s="17" t="s">
        <v>345</v>
      </c>
      <c r="K236" s="17">
        <v>0</v>
      </c>
      <c r="L236" s="17">
        <v>0</v>
      </c>
      <c r="M236" s="17" t="s">
        <v>287</v>
      </c>
      <c r="N236" s="19">
        <v>45873</v>
      </c>
      <c r="O236" s="19">
        <v>1</v>
      </c>
      <c r="P236" s="20">
        <v>2815762</v>
      </c>
      <c r="Q236" s="17">
        <v>27</v>
      </c>
      <c r="R236" s="14">
        <f t="shared" si="118"/>
        <v>2534185.8000000003</v>
      </c>
      <c r="S236" s="15">
        <v>180000</v>
      </c>
      <c r="T236" s="15">
        <v>0</v>
      </c>
      <c r="U236" s="7">
        <f t="shared" si="100"/>
        <v>0</v>
      </c>
      <c r="V236" s="15">
        <v>0</v>
      </c>
      <c r="W236" s="7">
        <f t="shared" si="101"/>
        <v>0</v>
      </c>
      <c r="X236" s="15">
        <v>0</v>
      </c>
      <c r="Y236" s="7">
        <f t="shared" si="119"/>
        <v>0</v>
      </c>
      <c r="Z236" s="15">
        <v>0</v>
      </c>
      <c r="AA236" s="7">
        <f t="shared" si="102"/>
        <v>0</v>
      </c>
      <c r="AB236" s="15">
        <v>0</v>
      </c>
      <c r="AC236" s="14">
        <f t="shared" si="103"/>
        <v>0</v>
      </c>
      <c r="AD236" s="14">
        <f t="shared" si="120"/>
        <v>0</v>
      </c>
      <c r="AE236" s="14">
        <f t="shared" si="121"/>
        <v>0</v>
      </c>
      <c r="AF236" s="15">
        <v>0</v>
      </c>
      <c r="AG236" s="7">
        <f t="shared" si="104"/>
        <v>0</v>
      </c>
      <c r="AH236" s="15">
        <v>0</v>
      </c>
      <c r="AI236" s="7">
        <f t="shared" si="105"/>
        <v>0</v>
      </c>
      <c r="AJ236" s="15">
        <v>0</v>
      </c>
      <c r="AK236" s="14">
        <f t="shared" si="106"/>
        <v>0</v>
      </c>
      <c r="AL236" s="15">
        <v>0</v>
      </c>
      <c r="AM236" s="7">
        <f t="shared" si="107"/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7">
        <f t="shared" si="108"/>
        <v>0</v>
      </c>
      <c r="AT236" s="14">
        <f t="shared" si="122"/>
        <v>0</v>
      </c>
      <c r="AU236" s="14">
        <f t="shared" si="123"/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-13335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304133</v>
      </c>
      <c r="BQ236" s="15">
        <v>61800</v>
      </c>
      <c r="BR236" s="14">
        <f t="shared" si="124"/>
        <v>365933</v>
      </c>
      <c r="BS236" s="15">
        <v>101400</v>
      </c>
      <c r="BT236" s="15">
        <v>0</v>
      </c>
      <c r="BU236" s="15">
        <v>0</v>
      </c>
      <c r="BV236" s="14">
        <f t="shared" si="125"/>
        <v>101400</v>
      </c>
      <c r="BW236" s="15">
        <v>225062</v>
      </c>
      <c r="BX236" s="15">
        <v>27009</v>
      </c>
      <c r="BY236" s="15">
        <v>225062</v>
      </c>
      <c r="BZ236" s="15">
        <v>109984</v>
      </c>
      <c r="CA236" s="15">
        <v>0</v>
      </c>
      <c r="CB236" s="15">
        <v>587117</v>
      </c>
      <c r="CC236" s="15">
        <v>3755301</v>
      </c>
      <c r="CD236" s="15">
        <v>225318</v>
      </c>
      <c r="CE236" s="15">
        <v>0</v>
      </c>
      <c r="CF236" s="14">
        <f t="shared" si="126"/>
        <v>3980618.8000000003</v>
      </c>
      <c r="CG236" s="18"/>
      <c r="CH236" s="16"/>
      <c r="CI236" s="17"/>
      <c r="CJ236" s="17"/>
    </row>
    <row r="237" spans="1:88" s="13" customFormat="1" x14ac:dyDescent="0.35">
      <c r="A237" s="13">
        <v>1022369880</v>
      </c>
      <c r="B237" s="17" t="s">
        <v>95</v>
      </c>
      <c r="C237" s="17" t="s">
        <v>83</v>
      </c>
      <c r="D237" s="17" t="s">
        <v>286</v>
      </c>
      <c r="E237" s="17">
        <v>1980</v>
      </c>
      <c r="F237" s="17" t="s">
        <v>92</v>
      </c>
      <c r="G237" s="17" t="s">
        <v>93</v>
      </c>
      <c r="H237" s="17">
        <v>1022369880</v>
      </c>
      <c r="I237" s="17" t="s">
        <v>346</v>
      </c>
      <c r="J237" s="17" t="s">
        <v>94</v>
      </c>
      <c r="K237" s="17">
        <v>0</v>
      </c>
      <c r="L237" s="17">
        <v>0</v>
      </c>
      <c r="M237" s="17" t="s">
        <v>96</v>
      </c>
      <c r="N237" s="19">
        <v>45877</v>
      </c>
      <c r="O237" s="19">
        <v>1</v>
      </c>
      <c r="P237" s="20">
        <v>782925</v>
      </c>
      <c r="Q237" s="17">
        <v>23</v>
      </c>
      <c r="R237" s="14">
        <f t="shared" si="118"/>
        <v>600242.5</v>
      </c>
      <c r="S237" s="15">
        <v>153333</v>
      </c>
      <c r="T237" s="15">
        <v>0</v>
      </c>
      <c r="U237" s="7">
        <f t="shared" si="100"/>
        <v>0</v>
      </c>
      <c r="V237" s="15">
        <v>0</v>
      </c>
      <c r="W237" s="7">
        <f t="shared" si="101"/>
        <v>0</v>
      </c>
      <c r="X237" s="15">
        <v>0</v>
      </c>
      <c r="Y237" s="7">
        <f t="shared" si="119"/>
        <v>0</v>
      </c>
      <c r="Z237" s="15">
        <v>0</v>
      </c>
      <c r="AA237" s="7">
        <f t="shared" si="102"/>
        <v>0</v>
      </c>
      <c r="AB237" s="15">
        <v>0</v>
      </c>
      <c r="AC237" s="14">
        <f t="shared" si="103"/>
        <v>0</v>
      </c>
      <c r="AD237" s="14">
        <f t="shared" si="120"/>
        <v>0</v>
      </c>
      <c r="AE237" s="14">
        <f t="shared" si="121"/>
        <v>0</v>
      </c>
      <c r="AF237" s="15">
        <v>0</v>
      </c>
      <c r="AG237" s="7">
        <f t="shared" si="104"/>
        <v>0</v>
      </c>
      <c r="AH237" s="15">
        <v>0</v>
      </c>
      <c r="AI237" s="7">
        <f t="shared" si="105"/>
        <v>0</v>
      </c>
      <c r="AJ237" s="15">
        <v>0</v>
      </c>
      <c r="AK237" s="14">
        <f t="shared" si="106"/>
        <v>0</v>
      </c>
      <c r="AL237" s="15">
        <v>0</v>
      </c>
      <c r="AM237" s="7">
        <f t="shared" si="107"/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7">
        <f t="shared" si="108"/>
        <v>0</v>
      </c>
      <c r="AT237" s="14">
        <f t="shared" si="122"/>
        <v>0</v>
      </c>
      <c r="AU237" s="14">
        <f t="shared" si="123"/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131046</v>
      </c>
      <c r="BQ237" s="15">
        <v>26600</v>
      </c>
      <c r="BR237" s="14">
        <f t="shared" si="124"/>
        <v>157646</v>
      </c>
      <c r="BS237" s="15">
        <v>24100</v>
      </c>
      <c r="BT237" s="15">
        <v>0</v>
      </c>
      <c r="BU237" s="15">
        <v>0</v>
      </c>
      <c r="BV237" s="14">
        <f t="shared" si="125"/>
        <v>24100</v>
      </c>
      <c r="BW237" s="15">
        <v>62795</v>
      </c>
      <c r="BX237" s="15">
        <v>7536</v>
      </c>
      <c r="BY237" s="15">
        <v>62795</v>
      </c>
      <c r="BZ237" s="15">
        <v>26050</v>
      </c>
      <c r="CA237" s="15">
        <v>0</v>
      </c>
      <c r="CB237" s="15">
        <v>159176</v>
      </c>
      <c r="CC237" s="15">
        <v>1094498</v>
      </c>
      <c r="CD237" s="15">
        <v>65671</v>
      </c>
      <c r="CE237" s="15">
        <v>0</v>
      </c>
      <c r="CF237" s="14">
        <f t="shared" si="126"/>
        <v>1160168.5</v>
      </c>
      <c r="CG237" s="18"/>
      <c r="CH237" s="16"/>
      <c r="CI237" s="17"/>
      <c r="CJ237" s="17"/>
    </row>
    <row r="238" spans="1:88" s="13" customFormat="1" x14ac:dyDescent="0.35">
      <c r="A238" s="13">
        <v>1073174721</v>
      </c>
      <c r="B238" s="17" t="s">
        <v>95</v>
      </c>
      <c r="C238" s="17" t="s">
        <v>83</v>
      </c>
      <c r="D238" s="17" t="s">
        <v>286</v>
      </c>
      <c r="E238" s="17">
        <v>6563</v>
      </c>
      <c r="F238" s="17" t="s">
        <v>84</v>
      </c>
      <c r="G238" s="17" t="s">
        <v>85</v>
      </c>
      <c r="H238" s="17">
        <v>1073174721</v>
      </c>
      <c r="I238" s="17" t="s">
        <v>347</v>
      </c>
      <c r="J238" s="17" t="s">
        <v>94</v>
      </c>
      <c r="K238" s="17">
        <v>0</v>
      </c>
      <c r="L238" s="17">
        <v>0</v>
      </c>
      <c r="M238" s="17" t="s">
        <v>96</v>
      </c>
      <c r="N238" s="19">
        <v>45880</v>
      </c>
      <c r="O238" s="19">
        <v>1</v>
      </c>
      <c r="P238" s="20">
        <v>1423500</v>
      </c>
      <c r="Q238" s="17">
        <v>20</v>
      </c>
      <c r="R238" s="14">
        <f t="shared" si="118"/>
        <v>949000</v>
      </c>
      <c r="S238" s="15">
        <v>133333</v>
      </c>
      <c r="T238" s="15">
        <v>0</v>
      </c>
      <c r="U238" s="7">
        <f t="shared" si="100"/>
        <v>0</v>
      </c>
      <c r="V238" s="15">
        <v>0</v>
      </c>
      <c r="W238" s="7">
        <f t="shared" si="101"/>
        <v>0</v>
      </c>
      <c r="X238" s="15">
        <v>0</v>
      </c>
      <c r="Y238" s="7">
        <f t="shared" si="119"/>
        <v>0</v>
      </c>
      <c r="Z238" s="15">
        <v>0</v>
      </c>
      <c r="AA238" s="7">
        <f t="shared" si="102"/>
        <v>0</v>
      </c>
      <c r="AB238" s="15">
        <v>0</v>
      </c>
      <c r="AC238" s="14">
        <f t="shared" si="103"/>
        <v>0</v>
      </c>
      <c r="AD238" s="14">
        <f t="shared" si="120"/>
        <v>0</v>
      </c>
      <c r="AE238" s="14">
        <f t="shared" si="121"/>
        <v>0</v>
      </c>
      <c r="AF238" s="15">
        <v>0</v>
      </c>
      <c r="AG238" s="7">
        <f t="shared" si="104"/>
        <v>0</v>
      </c>
      <c r="AH238" s="15">
        <v>0</v>
      </c>
      <c r="AI238" s="7">
        <f t="shared" si="105"/>
        <v>0</v>
      </c>
      <c r="AJ238" s="15">
        <v>0</v>
      </c>
      <c r="AK238" s="14">
        <f t="shared" si="106"/>
        <v>0</v>
      </c>
      <c r="AL238" s="15">
        <v>0</v>
      </c>
      <c r="AM238" s="7">
        <f t="shared" si="107"/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7">
        <f t="shared" si="108"/>
        <v>0</v>
      </c>
      <c r="AT238" s="14">
        <f t="shared" si="122"/>
        <v>0</v>
      </c>
      <c r="AU238" s="14">
        <f t="shared" si="123"/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113940</v>
      </c>
      <c r="BQ238" s="15">
        <v>5000</v>
      </c>
      <c r="BR238" s="14">
        <f t="shared" si="124"/>
        <v>118940</v>
      </c>
      <c r="BS238" s="15">
        <v>38000</v>
      </c>
      <c r="BT238" s="15">
        <v>0</v>
      </c>
      <c r="BU238" s="15">
        <v>0</v>
      </c>
      <c r="BV238" s="14">
        <f t="shared" si="125"/>
        <v>38000</v>
      </c>
      <c r="BW238" s="15">
        <v>90191</v>
      </c>
      <c r="BX238" s="15">
        <v>10823</v>
      </c>
      <c r="BY238" s="15">
        <v>90191</v>
      </c>
      <c r="BZ238" s="15">
        <v>41186</v>
      </c>
      <c r="CA238" s="15">
        <v>0</v>
      </c>
      <c r="CB238" s="15">
        <v>232391</v>
      </c>
      <c r="CC238" s="15">
        <v>1471664</v>
      </c>
      <c r="CD238" s="15">
        <v>88298</v>
      </c>
      <c r="CE238" s="15">
        <v>0</v>
      </c>
      <c r="CF238" s="14">
        <f t="shared" si="126"/>
        <v>1559962</v>
      </c>
      <c r="CG238" s="18"/>
      <c r="CH238" s="16"/>
      <c r="CI238" s="17"/>
      <c r="CJ238" s="17"/>
    </row>
    <row r="239" spans="1:88" s="13" customFormat="1" x14ac:dyDescent="0.35">
      <c r="A239" s="13">
        <v>1071303314</v>
      </c>
      <c r="B239" s="17" t="s">
        <v>95</v>
      </c>
      <c r="C239" s="17" t="s">
        <v>83</v>
      </c>
      <c r="D239" s="17" t="s">
        <v>286</v>
      </c>
      <c r="E239" s="17">
        <v>6563</v>
      </c>
      <c r="F239" s="17" t="s">
        <v>84</v>
      </c>
      <c r="G239" s="17" t="s">
        <v>85</v>
      </c>
      <c r="H239" s="17">
        <v>1071303314</v>
      </c>
      <c r="I239" s="17" t="s">
        <v>348</v>
      </c>
      <c r="J239" s="17" t="s">
        <v>94</v>
      </c>
      <c r="K239" s="17">
        <v>0</v>
      </c>
      <c r="L239" s="17">
        <v>0</v>
      </c>
      <c r="M239" s="17" t="s">
        <v>96</v>
      </c>
      <c r="N239" s="19">
        <v>45880</v>
      </c>
      <c r="O239" s="19">
        <v>1</v>
      </c>
      <c r="P239" s="20">
        <v>1423500</v>
      </c>
      <c r="Q239" s="17">
        <v>20</v>
      </c>
      <c r="R239" s="14">
        <f t="shared" si="118"/>
        <v>949000</v>
      </c>
      <c r="S239" s="15">
        <v>133333</v>
      </c>
      <c r="T239" s="15">
        <v>0</v>
      </c>
      <c r="U239" s="7">
        <f t="shared" si="100"/>
        <v>0</v>
      </c>
      <c r="V239" s="15">
        <v>0</v>
      </c>
      <c r="W239" s="7">
        <f t="shared" si="101"/>
        <v>0</v>
      </c>
      <c r="X239" s="15">
        <v>0</v>
      </c>
      <c r="Y239" s="7">
        <f t="shared" si="119"/>
        <v>0</v>
      </c>
      <c r="Z239" s="15">
        <v>0</v>
      </c>
      <c r="AA239" s="7">
        <f t="shared" si="102"/>
        <v>0</v>
      </c>
      <c r="AB239" s="15">
        <v>0</v>
      </c>
      <c r="AC239" s="14">
        <f t="shared" si="103"/>
        <v>0</v>
      </c>
      <c r="AD239" s="14">
        <f t="shared" si="120"/>
        <v>0</v>
      </c>
      <c r="AE239" s="14">
        <f t="shared" si="121"/>
        <v>0</v>
      </c>
      <c r="AF239" s="15">
        <v>0</v>
      </c>
      <c r="AG239" s="7">
        <f t="shared" si="104"/>
        <v>0</v>
      </c>
      <c r="AH239" s="15">
        <v>0</v>
      </c>
      <c r="AI239" s="7">
        <f t="shared" si="105"/>
        <v>0</v>
      </c>
      <c r="AJ239" s="15">
        <v>0</v>
      </c>
      <c r="AK239" s="14">
        <f t="shared" si="106"/>
        <v>0</v>
      </c>
      <c r="AL239" s="15">
        <v>0</v>
      </c>
      <c r="AM239" s="7">
        <f t="shared" si="107"/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7">
        <f t="shared" si="108"/>
        <v>0</v>
      </c>
      <c r="AT239" s="14">
        <f t="shared" si="122"/>
        <v>0</v>
      </c>
      <c r="AU239" s="14">
        <f t="shared" si="123"/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113940</v>
      </c>
      <c r="BQ239" s="15">
        <v>23200</v>
      </c>
      <c r="BR239" s="14">
        <f t="shared" si="124"/>
        <v>137140</v>
      </c>
      <c r="BS239" s="15">
        <v>38000</v>
      </c>
      <c r="BT239" s="15">
        <v>0</v>
      </c>
      <c r="BU239" s="15">
        <v>0</v>
      </c>
      <c r="BV239" s="14">
        <f t="shared" si="125"/>
        <v>38000</v>
      </c>
      <c r="BW239" s="15">
        <v>90191</v>
      </c>
      <c r="BX239" s="15">
        <v>10823</v>
      </c>
      <c r="BY239" s="15">
        <v>90191</v>
      </c>
      <c r="BZ239" s="15">
        <v>41186</v>
      </c>
      <c r="CA239" s="15">
        <v>0</v>
      </c>
      <c r="CB239" s="15">
        <v>232391</v>
      </c>
      <c r="CC239" s="15">
        <v>1489864</v>
      </c>
      <c r="CD239" s="15">
        <v>89390</v>
      </c>
      <c r="CE239" s="15">
        <v>0</v>
      </c>
      <c r="CF239" s="14">
        <f t="shared" si="126"/>
        <v>1579254</v>
      </c>
      <c r="CG239" s="18"/>
      <c r="CH239" s="16"/>
      <c r="CI239" s="17"/>
      <c r="CJ239" s="17"/>
    </row>
    <row r="240" spans="1:88" s="13" customFormat="1" x14ac:dyDescent="0.35">
      <c r="A240" s="13">
        <v>1073151982</v>
      </c>
      <c r="B240" s="17" t="s">
        <v>95</v>
      </c>
      <c r="C240" s="17" t="s">
        <v>83</v>
      </c>
      <c r="D240" s="17" t="s">
        <v>286</v>
      </c>
      <c r="E240" s="17">
        <v>6563</v>
      </c>
      <c r="F240" s="17" t="s">
        <v>84</v>
      </c>
      <c r="G240" s="17" t="s">
        <v>85</v>
      </c>
      <c r="H240" s="17">
        <v>1073151982</v>
      </c>
      <c r="I240" s="17" t="s">
        <v>349</v>
      </c>
      <c r="J240" s="17" t="s">
        <v>94</v>
      </c>
      <c r="K240" s="17">
        <v>0</v>
      </c>
      <c r="L240" s="17">
        <v>0</v>
      </c>
      <c r="M240" s="17" t="s">
        <v>96</v>
      </c>
      <c r="N240" s="19">
        <v>45880</v>
      </c>
      <c r="O240" s="19">
        <v>1</v>
      </c>
      <c r="P240" s="20">
        <v>1423500</v>
      </c>
      <c r="Q240" s="17">
        <v>20</v>
      </c>
      <c r="R240" s="14">
        <f t="shared" si="118"/>
        <v>949000</v>
      </c>
      <c r="S240" s="15">
        <v>133333</v>
      </c>
      <c r="T240" s="15">
        <v>0</v>
      </c>
      <c r="U240" s="7">
        <f t="shared" si="100"/>
        <v>0</v>
      </c>
      <c r="V240" s="15">
        <v>0</v>
      </c>
      <c r="W240" s="7">
        <f t="shared" si="101"/>
        <v>0</v>
      </c>
      <c r="X240" s="15">
        <v>0</v>
      </c>
      <c r="Y240" s="7">
        <f t="shared" si="119"/>
        <v>0</v>
      </c>
      <c r="Z240" s="15">
        <v>0</v>
      </c>
      <c r="AA240" s="7">
        <f t="shared" si="102"/>
        <v>0</v>
      </c>
      <c r="AB240" s="15">
        <v>0</v>
      </c>
      <c r="AC240" s="14">
        <f t="shared" si="103"/>
        <v>0</v>
      </c>
      <c r="AD240" s="14">
        <f t="shared" si="120"/>
        <v>0</v>
      </c>
      <c r="AE240" s="14">
        <f t="shared" si="121"/>
        <v>0</v>
      </c>
      <c r="AF240" s="15">
        <v>0</v>
      </c>
      <c r="AG240" s="7">
        <f t="shared" si="104"/>
        <v>0</v>
      </c>
      <c r="AH240" s="15">
        <v>0</v>
      </c>
      <c r="AI240" s="7">
        <f t="shared" si="105"/>
        <v>0</v>
      </c>
      <c r="AJ240" s="15">
        <v>0</v>
      </c>
      <c r="AK240" s="14">
        <f t="shared" si="106"/>
        <v>0</v>
      </c>
      <c r="AL240" s="15">
        <v>0</v>
      </c>
      <c r="AM240" s="7">
        <f t="shared" si="107"/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7">
        <f t="shared" si="108"/>
        <v>0</v>
      </c>
      <c r="AT240" s="14">
        <f t="shared" si="122"/>
        <v>0</v>
      </c>
      <c r="AU240" s="14">
        <f t="shared" si="123"/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113940</v>
      </c>
      <c r="BQ240" s="15">
        <v>23200</v>
      </c>
      <c r="BR240" s="14">
        <f t="shared" si="124"/>
        <v>137140</v>
      </c>
      <c r="BS240" s="15">
        <v>38000</v>
      </c>
      <c r="BT240" s="15">
        <v>0</v>
      </c>
      <c r="BU240" s="15">
        <v>0</v>
      </c>
      <c r="BV240" s="14">
        <f t="shared" si="125"/>
        <v>38000</v>
      </c>
      <c r="BW240" s="15">
        <v>90191</v>
      </c>
      <c r="BX240" s="15">
        <v>10823</v>
      </c>
      <c r="BY240" s="15">
        <v>90191</v>
      </c>
      <c r="BZ240" s="15">
        <v>41186</v>
      </c>
      <c r="CA240" s="15">
        <v>0</v>
      </c>
      <c r="CB240" s="15">
        <v>232391</v>
      </c>
      <c r="CC240" s="15">
        <v>1489864</v>
      </c>
      <c r="CD240" s="15">
        <v>89390</v>
      </c>
      <c r="CE240" s="15">
        <v>0</v>
      </c>
      <c r="CF240" s="14">
        <f t="shared" si="126"/>
        <v>1579254</v>
      </c>
      <c r="CG240" s="18"/>
      <c r="CH240" s="16"/>
      <c r="CI240" s="17"/>
      <c r="CJ240" s="17"/>
    </row>
    <row r="241" spans="1:88" s="13" customFormat="1" x14ac:dyDescent="0.35">
      <c r="A241" s="13">
        <v>1003510344</v>
      </c>
      <c r="B241" s="17" t="s">
        <v>95</v>
      </c>
      <c r="C241" s="17" t="s">
        <v>83</v>
      </c>
      <c r="D241" s="17" t="s">
        <v>286</v>
      </c>
      <c r="E241" s="17">
        <v>6563</v>
      </c>
      <c r="F241" s="17" t="s">
        <v>84</v>
      </c>
      <c r="G241" s="17" t="s">
        <v>85</v>
      </c>
      <c r="H241" s="17">
        <v>1003510344</v>
      </c>
      <c r="I241" s="17" t="s">
        <v>350</v>
      </c>
      <c r="J241" s="17" t="s">
        <v>94</v>
      </c>
      <c r="K241" s="17">
        <v>0</v>
      </c>
      <c r="L241" s="17">
        <v>0</v>
      </c>
      <c r="M241" s="17" t="s">
        <v>96</v>
      </c>
      <c r="N241" s="19">
        <v>45880</v>
      </c>
      <c r="O241" s="19">
        <v>1</v>
      </c>
      <c r="P241" s="20">
        <v>1423500</v>
      </c>
      <c r="Q241" s="17">
        <v>20</v>
      </c>
      <c r="R241" s="14">
        <f t="shared" si="118"/>
        <v>949000</v>
      </c>
      <c r="S241" s="15">
        <v>133333</v>
      </c>
      <c r="T241" s="15">
        <v>0</v>
      </c>
      <c r="U241" s="7">
        <f t="shared" si="100"/>
        <v>0</v>
      </c>
      <c r="V241" s="15">
        <v>0</v>
      </c>
      <c r="W241" s="7">
        <f t="shared" si="101"/>
        <v>0</v>
      </c>
      <c r="X241" s="15">
        <v>0</v>
      </c>
      <c r="Y241" s="7">
        <f t="shared" si="119"/>
        <v>0</v>
      </c>
      <c r="Z241" s="15">
        <v>0</v>
      </c>
      <c r="AA241" s="7">
        <f t="shared" si="102"/>
        <v>0</v>
      </c>
      <c r="AB241" s="15">
        <v>0</v>
      </c>
      <c r="AC241" s="14">
        <f t="shared" si="103"/>
        <v>0</v>
      </c>
      <c r="AD241" s="14">
        <f t="shared" si="120"/>
        <v>0</v>
      </c>
      <c r="AE241" s="14">
        <f t="shared" si="121"/>
        <v>0</v>
      </c>
      <c r="AF241" s="15">
        <v>0</v>
      </c>
      <c r="AG241" s="7">
        <f t="shared" si="104"/>
        <v>0</v>
      </c>
      <c r="AH241" s="15">
        <v>0</v>
      </c>
      <c r="AI241" s="7">
        <f t="shared" si="105"/>
        <v>0</v>
      </c>
      <c r="AJ241" s="15">
        <v>0</v>
      </c>
      <c r="AK241" s="14">
        <f t="shared" si="106"/>
        <v>0</v>
      </c>
      <c r="AL241" s="15">
        <v>0</v>
      </c>
      <c r="AM241" s="7">
        <f t="shared" si="107"/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7">
        <f t="shared" si="108"/>
        <v>0</v>
      </c>
      <c r="AT241" s="14">
        <f t="shared" si="122"/>
        <v>0</v>
      </c>
      <c r="AU241" s="14">
        <f t="shared" si="123"/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113940</v>
      </c>
      <c r="BQ241" s="15">
        <v>23200</v>
      </c>
      <c r="BR241" s="14">
        <f t="shared" si="124"/>
        <v>137140</v>
      </c>
      <c r="BS241" s="15">
        <v>38000</v>
      </c>
      <c r="BT241" s="15">
        <v>0</v>
      </c>
      <c r="BU241" s="15">
        <v>0</v>
      </c>
      <c r="BV241" s="14">
        <f t="shared" si="125"/>
        <v>38000</v>
      </c>
      <c r="BW241" s="15">
        <v>90191</v>
      </c>
      <c r="BX241" s="15">
        <v>10823</v>
      </c>
      <c r="BY241" s="15">
        <v>90191</v>
      </c>
      <c r="BZ241" s="15">
        <v>41186</v>
      </c>
      <c r="CA241" s="15">
        <v>0</v>
      </c>
      <c r="CB241" s="15">
        <v>232391</v>
      </c>
      <c r="CC241" s="15">
        <v>1489864</v>
      </c>
      <c r="CD241" s="15">
        <v>89390</v>
      </c>
      <c r="CE241" s="15">
        <v>0</v>
      </c>
      <c r="CF241" s="14">
        <f t="shared" si="126"/>
        <v>1579254</v>
      </c>
      <c r="CG241" s="18"/>
      <c r="CH241" s="16"/>
      <c r="CI241" s="17"/>
      <c r="CJ241" s="17"/>
    </row>
    <row r="242" spans="1:88" s="13" customFormat="1" x14ac:dyDescent="0.35">
      <c r="A242" s="13">
        <v>1000974235</v>
      </c>
      <c r="B242" s="17" t="s">
        <v>95</v>
      </c>
      <c r="C242" s="17" t="s">
        <v>83</v>
      </c>
      <c r="D242" s="17" t="s">
        <v>286</v>
      </c>
      <c r="E242" s="17">
        <v>6563</v>
      </c>
      <c r="F242" s="17" t="s">
        <v>84</v>
      </c>
      <c r="G242" s="17" t="s">
        <v>85</v>
      </c>
      <c r="H242" s="17">
        <v>1000974235</v>
      </c>
      <c r="I242" s="17" t="s">
        <v>351</v>
      </c>
      <c r="J242" s="17" t="s">
        <v>94</v>
      </c>
      <c r="K242" s="17">
        <v>0</v>
      </c>
      <c r="L242" s="17">
        <v>0</v>
      </c>
      <c r="M242" s="17" t="s">
        <v>96</v>
      </c>
      <c r="N242" s="19">
        <v>45880</v>
      </c>
      <c r="O242" s="19">
        <v>1</v>
      </c>
      <c r="P242" s="20">
        <v>1423500</v>
      </c>
      <c r="Q242" s="17">
        <v>20</v>
      </c>
      <c r="R242" s="14">
        <f t="shared" si="118"/>
        <v>949000</v>
      </c>
      <c r="S242" s="15">
        <v>133333</v>
      </c>
      <c r="T242" s="15">
        <v>0</v>
      </c>
      <c r="U242" s="7">
        <f t="shared" si="100"/>
        <v>0</v>
      </c>
      <c r="V242" s="15">
        <v>0</v>
      </c>
      <c r="W242" s="7">
        <f t="shared" si="101"/>
        <v>0</v>
      </c>
      <c r="X242" s="15">
        <v>0</v>
      </c>
      <c r="Y242" s="7">
        <f t="shared" si="119"/>
        <v>0</v>
      </c>
      <c r="Z242" s="15">
        <v>0</v>
      </c>
      <c r="AA242" s="7">
        <f t="shared" si="102"/>
        <v>0</v>
      </c>
      <c r="AB242" s="15">
        <v>0</v>
      </c>
      <c r="AC242" s="14">
        <f t="shared" si="103"/>
        <v>0</v>
      </c>
      <c r="AD242" s="14">
        <f t="shared" si="120"/>
        <v>0</v>
      </c>
      <c r="AE242" s="14">
        <f t="shared" si="121"/>
        <v>0</v>
      </c>
      <c r="AF242" s="15">
        <v>0</v>
      </c>
      <c r="AG242" s="7">
        <f t="shared" si="104"/>
        <v>0</v>
      </c>
      <c r="AH242" s="15">
        <v>0</v>
      </c>
      <c r="AI242" s="7">
        <f t="shared" si="105"/>
        <v>0</v>
      </c>
      <c r="AJ242" s="15">
        <v>0</v>
      </c>
      <c r="AK242" s="14">
        <f t="shared" si="106"/>
        <v>0</v>
      </c>
      <c r="AL242" s="15">
        <v>0</v>
      </c>
      <c r="AM242" s="7">
        <f t="shared" si="107"/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7">
        <f t="shared" si="108"/>
        <v>0</v>
      </c>
      <c r="AT242" s="14">
        <f t="shared" si="122"/>
        <v>0</v>
      </c>
      <c r="AU242" s="14">
        <f t="shared" si="123"/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113940</v>
      </c>
      <c r="BQ242" s="15">
        <v>23200</v>
      </c>
      <c r="BR242" s="14">
        <f t="shared" si="124"/>
        <v>137140</v>
      </c>
      <c r="BS242" s="15">
        <v>38000</v>
      </c>
      <c r="BT242" s="15">
        <v>0</v>
      </c>
      <c r="BU242" s="15">
        <v>0</v>
      </c>
      <c r="BV242" s="14">
        <f t="shared" si="125"/>
        <v>38000</v>
      </c>
      <c r="BW242" s="15">
        <v>90191</v>
      </c>
      <c r="BX242" s="15">
        <v>10823</v>
      </c>
      <c r="BY242" s="15">
        <v>90191</v>
      </c>
      <c r="BZ242" s="15">
        <v>41186</v>
      </c>
      <c r="CA242" s="15">
        <v>0</v>
      </c>
      <c r="CB242" s="15">
        <v>232391</v>
      </c>
      <c r="CC242" s="15">
        <v>1489864</v>
      </c>
      <c r="CD242" s="15">
        <v>89390</v>
      </c>
      <c r="CE242" s="15">
        <v>0</v>
      </c>
      <c r="CF242" s="14">
        <f t="shared" si="126"/>
        <v>1579254</v>
      </c>
      <c r="CG242" s="18"/>
      <c r="CH242" s="16"/>
      <c r="CI242" s="17"/>
      <c r="CJ242" s="17"/>
    </row>
    <row r="243" spans="1:88" s="13" customFormat="1" x14ac:dyDescent="0.35">
      <c r="A243" s="13">
        <v>1015421085</v>
      </c>
      <c r="B243" s="17" t="s">
        <v>95</v>
      </c>
      <c r="C243" s="17" t="s">
        <v>83</v>
      </c>
      <c r="D243" s="17" t="s">
        <v>286</v>
      </c>
      <c r="E243" s="17">
        <v>6563</v>
      </c>
      <c r="F243" s="17" t="s">
        <v>84</v>
      </c>
      <c r="G243" s="17" t="s">
        <v>85</v>
      </c>
      <c r="H243" s="17">
        <v>1015421085</v>
      </c>
      <c r="I243" s="17" t="s">
        <v>352</v>
      </c>
      <c r="J243" s="17" t="s">
        <v>94</v>
      </c>
      <c r="K243" s="17">
        <v>0</v>
      </c>
      <c r="L243" s="17">
        <v>0</v>
      </c>
      <c r="M243" s="17" t="s">
        <v>96</v>
      </c>
      <c r="N243" s="19">
        <v>45880</v>
      </c>
      <c r="O243" s="19">
        <v>1</v>
      </c>
      <c r="P243" s="20">
        <v>1423500</v>
      </c>
      <c r="Q243" s="17">
        <v>20</v>
      </c>
      <c r="R243" s="14">
        <f t="shared" si="118"/>
        <v>949000</v>
      </c>
      <c r="S243" s="15">
        <v>133333</v>
      </c>
      <c r="T243" s="15">
        <v>0</v>
      </c>
      <c r="U243" s="7">
        <f t="shared" si="100"/>
        <v>0</v>
      </c>
      <c r="V243" s="15">
        <v>0</v>
      </c>
      <c r="W243" s="7">
        <f t="shared" si="101"/>
        <v>0</v>
      </c>
      <c r="X243" s="15">
        <v>0</v>
      </c>
      <c r="Y243" s="7">
        <f t="shared" si="119"/>
        <v>0</v>
      </c>
      <c r="Z243" s="15">
        <v>0</v>
      </c>
      <c r="AA243" s="7">
        <f t="shared" si="102"/>
        <v>0</v>
      </c>
      <c r="AB243" s="15">
        <v>0</v>
      </c>
      <c r="AC243" s="14">
        <f t="shared" si="103"/>
        <v>0</v>
      </c>
      <c r="AD243" s="14">
        <f t="shared" si="120"/>
        <v>0</v>
      </c>
      <c r="AE243" s="14">
        <f t="shared" si="121"/>
        <v>0</v>
      </c>
      <c r="AF243" s="15">
        <v>0</v>
      </c>
      <c r="AG243" s="7">
        <f t="shared" si="104"/>
        <v>0</v>
      </c>
      <c r="AH243" s="15">
        <v>0</v>
      </c>
      <c r="AI243" s="7">
        <f t="shared" si="105"/>
        <v>0</v>
      </c>
      <c r="AJ243" s="15">
        <v>0</v>
      </c>
      <c r="AK243" s="14">
        <f t="shared" si="106"/>
        <v>0</v>
      </c>
      <c r="AL243" s="15">
        <v>0</v>
      </c>
      <c r="AM243" s="7">
        <f t="shared" si="107"/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7">
        <f t="shared" si="108"/>
        <v>0</v>
      </c>
      <c r="AT243" s="14">
        <f t="shared" si="122"/>
        <v>0</v>
      </c>
      <c r="AU243" s="14">
        <f t="shared" si="123"/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113940</v>
      </c>
      <c r="BQ243" s="15">
        <v>23200</v>
      </c>
      <c r="BR243" s="14">
        <f t="shared" si="124"/>
        <v>137140</v>
      </c>
      <c r="BS243" s="15">
        <v>38000</v>
      </c>
      <c r="BT243" s="15">
        <v>0</v>
      </c>
      <c r="BU243" s="15">
        <v>0</v>
      </c>
      <c r="BV243" s="14">
        <f t="shared" si="125"/>
        <v>38000</v>
      </c>
      <c r="BW243" s="15">
        <v>90191</v>
      </c>
      <c r="BX243" s="15">
        <v>10823</v>
      </c>
      <c r="BY243" s="15">
        <v>90191</v>
      </c>
      <c r="BZ243" s="15">
        <v>41186</v>
      </c>
      <c r="CA243" s="15">
        <v>0</v>
      </c>
      <c r="CB243" s="15">
        <v>232391</v>
      </c>
      <c r="CC243" s="15">
        <v>1489864</v>
      </c>
      <c r="CD243" s="15">
        <v>89390</v>
      </c>
      <c r="CE243" s="15">
        <v>0</v>
      </c>
      <c r="CF243" s="14">
        <f t="shared" si="126"/>
        <v>1579254</v>
      </c>
      <c r="CG243" s="18"/>
      <c r="CH243" s="16"/>
      <c r="CI243" s="17"/>
      <c r="CJ243" s="17"/>
    </row>
    <row r="244" spans="1:88" s="13" customFormat="1" x14ac:dyDescent="0.35">
      <c r="A244" s="13">
        <v>1010006542</v>
      </c>
      <c r="B244" s="17" t="s">
        <v>95</v>
      </c>
      <c r="C244" s="17" t="s">
        <v>83</v>
      </c>
      <c r="D244" s="17" t="s">
        <v>286</v>
      </c>
      <c r="E244" s="17">
        <v>5359</v>
      </c>
      <c r="F244" s="17" t="s">
        <v>190</v>
      </c>
      <c r="G244" s="17" t="s">
        <v>191</v>
      </c>
      <c r="H244" s="17">
        <v>1010006542</v>
      </c>
      <c r="I244" s="17" t="s">
        <v>353</v>
      </c>
      <c r="J244" s="17" t="s">
        <v>94</v>
      </c>
      <c r="K244" s="17">
        <v>0</v>
      </c>
      <c r="L244" s="17">
        <v>0</v>
      </c>
      <c r="M244" s="17" t="s">
        <v>96</v>
      </c>
      <c r="N244" s="19">
        <v>45881</v>
      </c>
      <c r="O244" s="19">
        <v>45894</v>
      </c>
      <c r="P244" s="20">
        <v>782925</v>
      </c>
      <c r="Q244" s="17">
        <v>14</v>
      </c>
      <c r="R244" s="14">
        <f t="shared" si="118"/>
        <v>365365</v>
      </c>
      <c r="S244" s="15">
        <v>93334</v>
      </c>
      <c r="T244" s="15">
        <v>0</v>
      </c>
      <c r="U244" s="7">
        <f t="shared" si="100"/>
        <v>0</v>
      </c>
      <c r="V244" s="15">
        <v>0</v>
      </c>
      <c r="W244" s="7">
        <f t="shared" si="101"/>
        <v>0</v>
      </c>
      <c r="X244" s="15">
        <v>0</v>
      </c>
      <c r="Y244" s="7">
        <f t="shared" si="119"/>
        <v>0</v>
      </c>
      <c r="Z244" s="15">
        <v>0</v>
      </c>
      <c r="AA244" s="7">
        <f t="shared" si="102"/>
        <v>0</v>
      </c>
      <c r="AB244" s="15">
        <v>0</v>
      </c>
      <c r="AC244" s="14">
        <f t="shared" si="103"/>
        <v>0</v>
      </c>
      <c r="AD244" s="14">
        <f t="shared" si="120"/>
        <v>0</v>
      </c>
      <c r="AE244" s="14">
        <f t="shared" si="121"/>
        <v>0</v>
      </c>
      <c r="AF244" s="15">
        <v>0</v>
      </c>
      <c r="AG244" s="7">
        <f t="shared" si="104"/>
        <v>0</v>
      </c>
      <c r="AH244" s="15">
        <v>0</v>
      </c>
      <c r="AI244" s="7">
        <f t="shared" si="105"/>
        <v>0</v>
      </c>
      <c r="AJ244" s="15">
        <v>0</v>
      </c>
      <c r="AK244" s="14">
        <f t="shared" si="106"/>
        <v>0</v>
      </c>
      <c r="AL244" s="15">
        <v>0</v>
      </c>
      <c r="AM244" s="7">
        <f t="shared" si="107"/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7">
        <f t="shared" si="108"/>
        <v>0</v>
      </c>
      <c r="AT244" s="14">
        <f t="shared" si="122"/>
        <v>0</v>
      </c>
      <c r="AU244" s="14">
        <f t="shared" si="123"/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79728</v>
      </c>
      <c r="BQ244" s="15">
        <v>16200</v>
      </c>
      <c r="BR244" s="14">
        <f t="shared" si="124"/>
        <v>95928</v>
      </c>
      <c r="BS244" s="15">
        <v>14700</v>
      </c>
      <c r="BT244" s="15">
        <v>0</v>
      </c>
      <c r="BU244" s="15">
        <v>0</v>
      </c>
      <c r="BV244" s="14">
        <f t="shared" si="125"/>
        <v>14700</v>
      </c>
      <c r="BW244" s="15">
        <v>38223</v>
      </c>
      <c r="BX244" s="15">
        <v>4587</v>
      </c>
      <c r="BY244" s="15">
        <v>38223</v>
      </c>
      <c r="BZ244" s="15">
        <v>15857</v>
      </c>
      <c r="CA244" s="15">
        <v>0</v>
      </c>
      <c r="CB244" s="15">
        <v>96890</v>
      </c>
      <c r="CC244" s="15">
        <v>666217</v>
      </c>
      <c r="CD244" s="15">
        <v>39972</v>
      </c>
      <c r="CE244" s="15">
        <v>0</v>
      </c>
      <c r="CF244" s="14">
        <f t="shared" si="126"/>
        <v>706189</v>
      </c>
      <c r="CG244" s="18"/>
      <c r="CH244" s="16"/>
      <c r="CI244" s="17"/>
      <c r="CJ244" s="17"/>
    </row>
    <row r="245" spans="1:88" s="13" customFormat="1" x14ac:dyDescent="0.35">
      <c r="A245" s="13">
        <v>1007571739</v>
      </c>
      <c r="B245" s="17" t="s">
        <v>95</v>
      </c>
      <c r="C245" s="17" t="s">
        <v>83</v>
      </c>
      <c r="D245" s="17" t="s">
        <v>286</v>
      </c>
      <c r="E245" s="17">
        <v>1980</v>
      </c>
      <c r="F245" s="17" t="s">
        <v>92</v>
      </c>
      <c r="G245" s="17" t="s">
        <v>93</v>
      </c>
      <c r="H245" s="17">
        <v>1007571739</v>
      </c>
      <c r="I245" s="17" t="s">
        <v>354</v>
      </c>
      <c r="J245" s="17" t="s">
        <v>94</v>
      </c>
      <c r="K245" s="17">
        <v>0</v>
      </c>
      <c r="L245" s="17">
        <v>0</v>
      </c>
      <c r="M245" s="17" t="s">
        <v>96</v>
      </c>
      <c r="N245" s="19">
        <v>45884</v>
      </c>
      <c r="O245" s="19">
        <v>1</v>
      </c>
      <c r="P245" s="20">
        <v>782925</v>
      </c>
      <c r="Q245" s="17">
        <v>16</v>
      </c>
      <c r="R245" s="14">
        <f t="shared" si="118"/>
        <v>417560</v>
      </c>
      <c r="S245" s="15">
        <v>106667</v>
      </c>
      <c r="T245" s="15">
        <v>0</v>
      </c>
      <c r="U245" s="7">
        <f t="shared" si="100"/>
        <v>0</v>
      </c>
      <c r="V245" s="15">
        <v>0</v>
      </c>
      <c r="W245" s="7">
        <f t="shared" si="101"/>
        <v>0</v>
      </c>
      <c r="X245" s="15">
        <v>0</v>
      </c>
      <c r="Y245" s="7">
        <f t="shared" si="119"/>
        <v>0</v>
      </c>
      <c r="Z245" s="15">
        <v>0</v>
      </c>
      <c r="AA245" s="7">
        <f t="shared" si="102"/>
        <v>0</v>
      </c>
      <c r="AB245" s="15">
        <v>0</v>
      </c>
      <c r="AC245" s="14">
        <f t="shared" si="103"/>
        <v>0</v>
      </c>
      <c r="AD245" s="14">
        <f t="shared" si="120"/>
        <v>0</v>
      </c>
      <c r="AE245" s="14">
        <f t="shared" si="121"/>
        <v>0</v>
      </c>
      <c r="AF245" s="15">
        <v>0</v>
      </c>
      <c r="AG245" s="7">
        <f t="shared" si="104"/>
        <v>0</v>
      </c>
      <c r="AH245" s="15">
        <v>0</v>
      </c>
      <c r="AI245" s="7">
        <f t="shared" si="105"/>
        <v>0</v>
      </c>
      <c r="AJ245" s="15">
        <v>0</v>
      </c>
      <c r="AK245" s="14">
        <f t="shared" si="106"/>
        <v>0</v>
      </c>
      <c r="AL245" s="15">
        <v>0</v>
      </c>
      <c r="AM245" s="7">
        <f t="shared" si="107"/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7">
        <f t="shared" si="108"/>
        <v>0</v>
      </c>
      <c r="AT245" s="14">
        <f t="shared" si="122"/>
        <v>0</v>
      </c>
      <c r="AU245" s="14">
        <f t="shared" si="123"/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91132</v>
      </c>
      <c r="BQ245" s="15">
        <v>18500</v>
      </c>
      <c r="BR245" s="14">
        <f t="shared" si="124"/>
        <v>109632</v>
      </c>
      <c r="BS245" s="15">
        <v>16800</v>
      </c>
      <c r="BT245" s="15">
        <v>0</v>
      </c>
      <c r="BU245" s="15">
        <v>0</v>
      </c>
      <c r="BV245" s="14">
        <f t="shared" si="125"/>
        <v>16800</v>
      </c>
      <c r="BW245" s="15">
        <v>43684</v>
      </c>
      <c r="BX245" s="15">
        <v>5242</v>
      </c>
      <c r="BY245" s="15">
        <v>43684</v>
      </c>
      <c r="BZ245" s="15">
        <v>18122</v>
      </c>
      <c r="CA245" s="15">
        <v>0</v>
      </c>
      <c r="CB245" s="15">
        <v>110732</v>
      </c>
      <c r="CC245" s="15">
        <v>761392</v>
      </c>
      <c r="CD245" s="15">
        <v>45685</v>
      </c>
      <c r="CE245" s="15">
        <v>0</v>
      </c>
      <c r="CF245" s="14">
        <f t="shared" si="126"/>
        <v>807076</v>
      </c>
      <c r="CG245" s="18"/>
      <c r="CH245" s="16"/>
      <c r="CI245" s="17"/>
      <c r="CJ245" s="17"/>
    </row>
    <row r="246" spans="1:88" s="13" customFormat="1" x14ac:dyDescent="0.35">
      <c r="A246" s="13">
        <v>13107634</v>
      </c>
      <c r="B246" s="17" t="s">
        <v>95</v>
      </c>
      <c r="C246" s="17" t="s">
        <v>83</v>
      </c>
      <c r="D246" s="17" t="s">
        <v>286</v>
      </c>
      <c r="E246" s="17">
        <v>1980</v>
      </c>
      <c r="F246" s="17" t="s">
        <v>92</v>
      </c>
      <c r="G246" s="17" t="s">
        <v>93</v>
      </c>
      <c r="H246" s="17">
        <v>13107634</v>
      </c>
      <c r="I246" s="17" t="s">
        <v>355</v>
      </c>
      <c r="J246" s="17" t="s">
        <v>94</v>
      </c>
      <c r="K246" s="17">
        <v>0</v>
      </c>
      <c r="L246" s="17">
        <v>0</v>
      </c>
      <c r="M246" s="17" t="s">
        <v>96</v>
      </c>
      <c r="N246" s="19">
        <v>45884</v>
      </c>
      <c r="O246" s="19">
        <v>1</v>
      </c>
      <c r="P246" s="20">
        <v>1423500</v>
      </c>
      <c r="Q246" s="17">
        <v>16</v>
      </c>
      <c r="R246" s="14">
        <f t="shared" si="118"/>
        <v>759200</v>
      </c>
      <c r="S246" s="15">
        <v>106667</v>
      </c>
      <c r="T246" s="15">
        <v>0</v>
      </c>
      <c r="U246" s="7">
        <f t="shared" si="100"/>
        <v>0</v>
      </c>
      <c r="V246" s="15">
        <v>0</v>
      </c>
      <c r="W246" s="7">
        <f t="shared" si="101"/>
        <v>0</v>
      </c>
      <c r="X246" s="15">
        <v>0</v>
      </c>
      <c r="Y246" s="7">
        <f t="shared" si="119"/>
        <v>0</v>
      </c>
      <c r="Z246" s="15">
        <v>0</v>
      </c>
      <c r="AA246" s="7">
        <f t="shared" si="102"/>
        <v>0</v>
      </c>
      <c r="AB246" s="15">
        <v>0</v>
      </c>
      <c r="AC246" s="14">
        <f t="shared" si="103"/>
        <v>0</v>
      </c>
      <c r="AD246" s="14">
        <f t="shared" si="120"/>
        <v>0</v>
      </c>
      <c r="AE246" s="14">
        <f t="shared" si="121"/>
        <v>0</v>
      </c>
      <c r="AF246" s="15">
        <v>0</v>
      </c>
      <c r="AG246" s="7">
        <f t="shared" si="104"/>
        <v>0</v>
      </c>
      <c r="AH246" s="15">
        <v>0</v>
      </c>
      <c r="AI246" s="7">
        <f t="shared" si="105"/>
        <v>0</v>
      </c>
      <c r="AJ246" s="15">
        <v>0</v>
      </c>
      <c r="AK246" s="14">
        <f t="shared" si="106"/>
        <v>0</v>
      </c>
      <c r="AL246" s="15">
        <v>0</v>
      </c>
      <c r="AM246" s="7">
        <f t="shared" si="107"/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7">
        <f t="shared" si="108"/>
        <v>0</v>
      </c>
      <c r="AT246" s="14">
        <f t="shared" si="122"/>
        <v>0</v>
      </c>
      <c r="AU246" s="14">
        <f t="shared" si="123"/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91132</v>
      </c>
      <c r="BQ246" s="15">
        <v>18500</v>
      </c>
      <c r="BR246" s="14">
        <f t="shared" si="124"/>
        <v>109632</v>
      </c>
      <c r="BS246" s="15">
        <v>30400</v>
      </c>
      <c r="BT246" s="15">
        <v>0</v>
      </c>
      <c r="BU246" s="15">
        <v>0</v>
      </c>
      <c r="BV246" s="14">
        <f t="shared" si="125"/>
        <v>30400</v>
      </c>
      <c r="BW246" s="15">
        <v>72153</v>
      </c>
      <c r="BX246" s="15">
        <v>8659</v>
      </c>
      <c r="BY246" s="15">
        <v>72153</v>
      </c>
      <c r="BZ246" s="15">
        <v>32950</v>
      </c>
      <c r="CA246" s="15">
        <v>0</v>
      </c>
      <c r="CB246" s="15">
        <v>185915</v>
      </c>
      <c r="CC246" s="15">
        <v>1191814</v>
      </c>
      <c r="CD246" s="15">
        <v>71509</v>
      </c>
      <c r="CE246" s="15">
        <v>0</v>
      </c>
      <c r="CF246" s="14">
        <f t="shared" si="126"/>
        <v>1263323</v>
      </c>
      <c r="CG246" s="18"/>
      <c r="CH246" s="16"/>
      <c r="CI246" s="17"/>
      <c r="CJ246" s="17"/>
    </row>
    <row r="247" spans="1:88" s="13" customFormat="1" x14ac:dyDescent="0.35">
      <c r="A247" s="13">
        <v>1031159802</v>
      </c>
      <c r="B247" s="17" t="s">
        <v>95</v>
      </c>
      <c r="C247" s="17" t="s">
        <v>83</v>
      </c>
      <c r="D247" s="17" t="s">
        <v>286</v>
      </c>
      <c r="E247" s="17">
        <v>6571</v>
      </c>
      <c r="F247" s="17" t="s">
        <v>88</v>
      </c>
      <c r="G247" s="17" t="s">
        <v>89</v>
      </c>
      <c r="H247" s="17">
        <v>1031159802</v>
      </c>
      <c r="I247" s="17" t="s">
        <v>356</v>
      </c>
      <c r="J247" s="17" t="s">
        <v>94</v>
      </c>
      <c r="K247" s="17">
        <v>0</v>
      </c>
      <c r="L247" s="17">
        <v>0</v>
      </c>
      <c r="M247" s="17" t="s">
        <v>96</v>
      </c>
      <c r="N247" s="19">
        <v>45884</v>
      </c>
      <c r="O247" s="19">
        <v>1</v>
      </c>
      <c r="P247" s="20">
        <v>1423500</v>
      </c>
      <c r="Q247" s="17">
        <v>16</v>
      </c>
      <c r="R247" s="14">
        <f t="shared" si="118"/>
        <v>759200</v>
      </c>
      <c r="S247" s="15">
        <v>106667</v>
      </c>
      <c r="T247" s="15">
        <v>0</v>
      </c>
      <c r="U247" s="7">
        <f t="shared" si="100"/>
        <v>0</v>
      </c>
      <c r="V247" s="15">
        <v>0</v>
      </c>
      <c r="W247" s="7">
        <f t="shared" si="101"/>
        <v>0</v>
      </c>
      <c r="X247" s="15">
        <v>0</v>
      </c>
      <c r="Y247" s="7">
        <f t="shared" si="119"/>
        <v>0</v>
      </c>
      <c r="Z247" s="15">
        <v>0</v>
      </c>
      <c r="AA247" s="7">
        <f t="shared" si="102"/>
        <v>0</v>
      </c>
      <c r="AB247" s="15">
        <v>0</v>
      </c>
      <c r="AC247" s="14">
        <f t="shared" si="103"/>
        <v>0</v>
      </c>
      <c r="AD247" s="14">
        <f t="shared" si="120"/>
        <v>0</v>
      </c>
      <c r="AE247" s="14">
        <f t="shared" si="121"/>
        <v>0</v>
      </c>
      <c r="AF247" s="15">
        <v>0</v>
      </c>
      <c r="AG247" s="7">
        <f t="shared" si="104"/>
        <v>0</v>
      </c>
      <c r="AH247" s="15">
        <v>0</v>
      </c>
      <c r="AI247" s="7">
        <f t="shared" si="105"/>
        <v>0</v>
      </c>
      <c r="AJ247" s="15">
        <v>0</v>
      </c>
      <c r="AK247" s="14">
        <f t="shared" si="106"/>
        <v>0</v>
      </c>
      <c r="AL247" s="15">
        <v>0</v>
      </c>
      <c r="AM247" s="7">
        <f t="shared" si="107"/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7">
        <f t="shared" si="108"/>
        <v>0</v>
      </c>
      <c r="AT247" s="14">
        <f t="shared" si="122"/>
        <v>0</v>
      </c>
      <c r="AU247" s="14">
        <f t="shared" si="123"/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91132</v>
      </c>
      <c r="BQ247" s="15">
        <v>18500</v>
      </c>
      <c r="BR247" s="14">
        <f t="shared" si="124"/>
        <v>109632</v>
      </c>
      <c r="BS247" s="15">
        <v>30400</v>
      </c>
      <c r="BT247" s="15">
        <v>0</v>
      </c>
      <c r="BU247" s="15">
        <v>0</v>
      </c>
      <c r="BV247" s="14">
        <f t="shared" si="125"/>
        <v>30400</v>
      </c>
      <c r="BW247" s="15">
        <v>72153</v>
      </c>
      <c r="BX247" s="15">
        <v>8659</v>
      </c>
      <c r="BY247" s="15">
        <v>72153</v>
      </c>
      <c r="BZ247" s="15">
        <v>32950</v>
      </c>
      <c r="CA247" s="15">
        <v>0</v>
      </c>
      <c r="CB247" s="15">
        <v>185915</v>
      </c>
      <c r="CC247" s="15">
        <v>1191814</v>
      </c>
      <c r="CD247" s="15">
        <v>71509</v>
      </c>
      <c r="CE247" s="15">
        <v>0</v>
      </c>
      <c r="CF247" s="14">
        <f t="shared" si="126"/>
        <v>1263323</v>
      </c>
      <c r="CG247" s="18"/>
      <c r="CH247" s="16"/>
      <c r="CI247" s="17"/>
      <c r="CJ247" s="17"/>
    </row>
    <row r="248" spans="1:88" s="13" customFormat="1" x14ac:dyDescent="0.35">
      <c r="A248" s="13">
        <v>1001525442</v>
      </c>
      <c r="B248" s="17" t="s">
        <v>97</v>
      </c>
      <c r="C248" s="17" t="s">
        <v>83</v>
      </c>
      <c r="D248" s="17" t="s">
        <v>286</v>
      </c>
      <c r="E248" s="17">
        <v>5421</v>
      </c>
      <c r="F248" s="17" t="s">
        <v>86</v>
      </c>
      <c r="G248" s="17" t="s">
        <v>87</v>
      </c>
      <c r="H248" s="17">
        <v>1001525442</v>
      </c>
      <c r="I248" s="17" t="s">
        <v>357</v>
      </c>
      <c r="J248" s="17" t="s">
        <v>94</v>
      </c>
      <c r="K248" s="17">
        <v>0</v>
      </c>
      <c r="L248" s="17">
        <v>0</v>
      </c>
      <c r="M248" s="17" t="s">
        <v>96</v>
      </c>
      <c r="N248" s="19">
        <v>45863</v>
      </c>
      <c r="O248" s="19">
        <v>1</v>
      </c>
      <c r="P248" s="20">
        <v>1423500</v>
      </c>
      <c r="Q248" s="17">
        <v>37</v>
      </c>
      <c r="R248" s="14">
        <f t="shared" si="118"/>
        <v>1755650</v>
      </c>
      <c r="S248" s="15">
        <v>246667</v>
      </c>
      <c r="T248" s="15">
        <v>0</v>
      </c>
      <c r="U248" s="7">
        <f t="shared" si="100"/>
        <v>0</v>
      </c>
      <c r="V248" s="15">
        <v>0</v>
      </c>
      <c r="W248" s="7">
        <f t="shared" si="101"/>
        <v>0</v>
      </c>
      <c r="X248" s="15">
        <v>0</v>
      </c>
      <c r="Y248" s="7">
        <f t="shared" si="119"/>
        <v>0</v>
      </c>
      <c r="Z248" s="15">
        <v>0</v>
      </c>
      <c r="AA248" s="7">
        <f t="shared" si="102"/>
        <v>0</v>
      </c>
      <c r="AB248" s="15">
        <v>0</v>
      </c>
      <c r="AC248" s="14">
        <f t="shared" si="103"/>
        <v>0</v>
      </c>
      <c r="AD248" s="14">
        <f t="shared" si="120"/>
        <v>0</v>
      </c>
      <c r="AE248" s="14">
        <f t="shared" si="121"/>
        <v>0</v>
      </c>
      <c r="AF248" s="15">
        <v>0</v>
      </c>
      <c r="AG248" s="7">
        <f t="shared" si="104"/>
        <v>0</v>
      </c>
      <c r="AH248" s="15">
        <v>0</v>
      </c>
      <c r="AI248" s="7">
        <f t="shared" si="105"/>
        <v>0</v>
      </c>
      <c r="AJ248" s="15">
        <v>0</v>
      </c>
      <c r="AK248" s="14">
        <f t="shared" si="106"/>
        <v>0</v>
      </c>
      <c r="AL248" s="15">
        <v>0</v>
      </c>
      <c r="AM248" s="7">
        <f t="shared" si="107"/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11.38</v>
      </c>
      <c r="AS248" s="7">
        <f t="shared" si="108"/>
        <v>25771.82045454545</v>
      </c>
      <c r="AT248" s="14">
        <f t="shared" si="122"/>
        <v>11.38</v>
      </c>
      <c r="AU248" s="14">
        <f t="shared" si="123"/>
        <v>25771.82045454545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52019</v>
      </c>
      <c r="BD248" s="15">
        <v>0</v>
      </c>
      <c r="BE248" s="15">
        <v>52666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95101</v>
      </c>
      <c r="BL248" s="15">
        <v>0</v>
      </c>
      <c r="BM248" s="15">
        <v>0</v>
      </c>
      <c r="BN248" s="15">
        <v>0</v>
      </c>
      <c r="BO248" s="15">
        <v>0</v>
      </c>
      <c r="BP248" s="15">
        <v>213771</v>
      </c>
      <c r="BQ248" s="15">
        <v>18958</v>
      </c>
      <c r="BR248" s="14">
        <f t="shared" si="124"/>
        <v>232729</v>
      </c>
      <c r="BS248" s="15">
        <v>71257</v>
      </c>
      <c r="BT248" s="15">
        <v>0</v>
      </c>
      <c r="BU248" s="15">
        <v>0</v>
      </c>
      <c r="BV248" s="14">
        <f t="shared" si="125"/>
        <v>71257</v>
      </c>
      <c r="BW248" s="15">
        <v>169001</v>
      </c>
      <c r="BX248" s="15">
        <v>20281</v>
      </c>
      <c r="BY248" s="15">
        <v>169001</v>
      </c>
      <c r="BZ248" s="15">
        <v>77314</v>
      </c>
      <c r="CA248" s="15">
        <v>0</v>
      </c>
      <c r="CB248" s="15">
        <v>435596</v>
      </c>
      <c r="CC248" s="15">
        <v>2871995</v>
      </c>
      <c r="CD248" s="15">
        <v>150780</v>
      </c>
      <c r="CE248" s="15">
        <v>0</v>
      </c>
      <c r="CF248" s="14">
        <f t="shared" si="126"/>
        <v>3118236.8204545453</v>
      </c>
      <c r="CG248" s="18"/>
      <c r="CH248" s="16"/>
      <c r="CI248" s="17"/>
      <c r="CJ248" s="17"/>
    </row>
    <row r="249" spans="1:88" s="13" customFormat="1" x14ac:dyDescent="0.35">
      <c r="A249" s="13">
        <v>1099375434</v>
      </c>
      <c r="B249" s="17" t="s">
        <v>97</v>
      </c>
      <c r="C249" s="17" t="s">
        <v>83</v>
      </c>
      <c r="D249" s="17" t="s">
        <v>286</v>
      </c>
      <c r="E249" s="17">
        <v>5641</v>
      </c>
      <c r="F249" s="17" t="s">
        <v>98</v>
      </c>
      <c r="G249" s="17" t="s">
        <v>99</v>
      </c>
      <c r="H249" s="17">
        <v>1099375434</v>
      </c>
      <c r="I249" s="17" t="s">
        <v>358</v>
      </c>
      <c r="J249" s="17" t="s">
        <v>94</v>
      </c>
      <c r="K249" s="17">
        <v>0</v>
      </c>
      <c r="L249" s="17">
        <v>0</v>
      </c>
      <c r="M249" s="17" t="s">
        <v>96</v>
      </c>
      <c r="N249" s="19">
        <v>45877</v>
      </c>
      <c r="O249" s="19">
        <v>1</v>
      </c>
      <c r="P249" s="20">
        <v>782925</v>
      </c>
      <c r="Q249" s="17">
        <v>21</v>
      </c>
      <c r="R249" s="14">
        <f t="shared" si="118"/>
        <v>548047.5</v>
      </c>
      <c r="S249" s="15">
        <v>140000</v>
      </c>
      <c r="T249" s="15">
        <v>0</v>
      </c>
      <c r="U249" s="7">
        <f t="shared" si="100"/>
        <v>0</v>
      </c>
      <c r="V249" s="15">
        <v>0</v>
      </c>
      <c r="W249" s="7">
        <f t="shared" si="101"/>
        <v>0</v>
      </c>
      <c r="X249" s="15">
        <v>0</v>
      </c>
      <c r="Y249" s="7">
        <f t="shared" si="119"/>
        <v>0</v>
      </c>
      <c r="Z249" s="15">
        <v>0</v>
      </c>
      <c r="AA249" s="7">
        <f t="shared" si="102"/>
        <v>0</v>
      </c>
      <c r="AB249" s="15">
        <v>0</v>
      </c>
      <c r="AC249" s="14">
        <f t="shared" si="103"/>
        <v>0</v>
      </c>
      <c r="AD249" s="14">
        <f t="shared" si="120"/>
        <v>0</v>
      </c>
      <c r="AE249" s="14">
        <f t="shared" si="121"/>
        <v>0</v>
      </c>
      <c r="AF249" s="15">
        <v>0</v>
      </c>
      <c r="AG249" s="7">
        <f t="shared" si="104"/>
        <v>0</v>
      </c>
      <c r="AH249" s="15">
        <v>0</v>
      </c>
      <c r="AI249" s="7">
        <f t="shared" si="105"/>
        <v>0</v>
      </c>
      <c r="AJ249" s="15">
        <v>0</v>
      </c>
      <c r="AK249" s="14">
        <f t="shared" si="106"/>
        <v>0</v>
      </c>
      <c r="AL249" s="15">
        <v>0</v>
      </c>
      <c r="AM249" s="7">
        <f t="shared" si="107"/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7">
        <f t="shared" si="108"/>
        <v>0</v>
      </c>
      <c r="AT249" s="14">
        <f t="shared" si="122"/>
        <v>0</v>
      </c>
      <c r="AU249" s="14">
        <f t="shared" si="123"/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93951</v>
      </c>
      <c r="BQ249" s="15">
        <v>8173.7370000000001</v>
      </c>
      <c r="BR249" s="14">
        <f t="shared" si="124"/>
        <v>102124.73699999999</v>
      </c>
      <c r="BS249" s="15">
        <v>31317</v>
      </c>
      <c r="BT249" s="15">
        <v>0</v>
      </c>
      <c r="BU249" s="15">
        <v>0</v>
      </c>
      <c r="BV249" s="14">
        <f t="shared" si="125"/>
        <v>31317</v>
      </c>
      <c r="BW249" s="15">
        <v>57334.998175000001</v>
      </c>
      <c r="BX249" s="15">
        <v>7829.25</v>
      </c>
      <c r="BY249" s="15">
        <v>65241.140250000004</v>
      </c>
      <c r="BZ249" s="15">
        <v>33978.945</v>
      </c>
      <c r="CA249" s="15">
        <v>0</v>
      </c>
      <c r="CB249" s="15">
        <v>164384.33342500002</v>
      </c>
      <c r="CC249" s="15">
        <v>985873.57042500004</v>
      </c>
      <c r="CD249" s="15">
        <v>51758</v>
      </c>
      <c r="CE249" s="15">
        <v>0</v>
      </c>
      <c r="CF249" s="14">
        <f t="shared" si="126"/>
        <v>1037631.570425</v>
      </c>
      <c r="CG249" s="18"/>
      <c r="CH249" s="16"/>
      <c r="CI249" s="17"/>
      <c r="CJ249" s="17"/>
    </row>
    <row r="250" spans="1:88" s="13" customFormat="1" x14ac:dyDescent="0.35">
      <c r="A250" s="13">
        <v>987123</v>
      </c>
      <c r="B250" s="17" t="s">
        <v>97</v>
      </c>
      <c r="C250" s="17" t="s">
        <v>83</v>
      </c>
      <c r="D250" s="17" t="s">
        <v>286</v>
      </c>
      <c r="E250" s="17">
        <v>5421</v>
      </c>
      <c r="F250" s="17" t="s">
        <v>86</v>
      </c>
      <c r="G250" s="17" t="s">
        <v>87</v>
      </c>
      <c r="H250" s="17">
        <v>987123</v>
      </c>
      <c r="I250" s="17" t="s">
        <v>359</v>
      </c>
      <c r="J250" s="17" t="s">
        <v>94</v>
      </c>
      <c r="K250" s="17">
        <v>0</v>
      </c>
      <c r="L250" s="17">
        <v>0</v>
      </c>
      <c r="M250" s="17" t="s">
        <v>96</v>
      </c>
      <c r="N250" s="19">
        <v>45877</v>
      </c>
      <c r="O250" s="19">
        <v>1</v>
      </c>
      <c r="P250" s="20">
        <v>1423500</v>
      </c>
      <c r="Q250" s="17">
        <v>23</v>
      </c>
      <c r="R250" s="14">
        <f t="shared" si="118"/>
        <v>1091350</v>
      </c>
      <c r="S250" s="15">
        <v>153333.33333333334</v>
      </c>
      <c r="T250" s="15">
        <v>0</v>
      </c>
      <c r="U250" s="7">
        <f t="shared" si="100"/>
        <v>0</v>
      </c>
      <c r="V250" s="15">
        <v>0</v>
      </c>
      <c r="W250" s="7">
        <f t="shared" si="101"/>
        <v>0</v>
      </c>
      <c r="X250" s="15">
        <v>0</v>
      </c>
      <c r="Y250" s="7">
        <f t="shared" si="119"/>
        <v>0</v>
      </c>
      <c r="Z250" s="15">
        <v>0</v>
      </c>
      <c r="AA250" s="7">
        <f t="shared" si="102"/>
        <v>0</v>
      </c>
      <c r="AB250" s="15">
        <v>0</v>
      </c>
      <c r="AC250" s="14">
        <f t="shared" si="103"/>
        <v>0</v>
      </c>
      <c r="AD250" s="14">
        <f t="shared" si="120"/>
        <v>0</v>
      </c>
      <c r="AE250" s="14">
        <f t="shared" si="121"/>
        <v>0</v>
      </c>
      <c r="AF250" s="15">
        <v>0</v>
      </c>
      <c r="AG250" s="7">
        <f t="shared" si="104"/>
        <v>0</v>
      </c>
      <c r="AH250" s="15">
        <v>0</v>
      </c>
      <c r="AI250" s="7">
        <f t="shared" si="105"/>
        <v>0</v>
      </c>
      <c r="AJ250" s="15">
        <v>0</v>
      </c>
      <c r="AK250" s="14">
        <f t="shared" si="106"/>
        <v>0</v>
      </c>
      <c r="AL250" s="15">
        <v>0</v>
      </c>
      <c r="AM250" s="7">
        <f t="shared" si="107"/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7">
        <f t="shared" si="108"/>
        <v>0</v>
      </c>
      <c r="AT250" s="14">
        <f t="shared" si="122"/>
        <v>0</v>
      </c>
      <c r="AU250" s="14">
        <f t="shared" si="123"/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130962</v>
      </c>
      <c r="BQ250" s="15">
        <v>11393.694</v>
      </c>
      <c r="BR250" s="14">
        <f t="shared" si="124"/>
        <v>142355.69399999999</v>
      </c>
      <c r="BS250" s="15">
        <v>43654</v>
      </c>
      <c r="BT250" s="15">
        <v>0</v>
      </c>
      <c r="BU250" s="15">
        <v>0</v>
      </c>
      <c r="BV250" s="14">
        <f t="shared" si="125"/>
        <v>43654</v>
      </c>
      <c r="BW250" s="15">
        <v>103719.46216666666</v>
      </c>
      <c r="BX250" s="15">
        <v>12446.833333333332</v>
      </c>
      <c r="BY250" s="15">
        <v>103719.46216666666</v>
      </c>
      <c r="BZ250" s="15">
        <v>47364.590000000004</v>
      </c>
      <c r="CA250" s="15">
        <v>0</v>
      </c>
      <c r="CB250" s="15">
        <v>267250.34766666667</v>
      </c>
      <c r="CC250" s="15">
        <v>1697943.3749999998</v>
      </c>
      <c r="CD250" s="15">
        <v>89142</v>
      </c>
      <c r="CE250" s="15">
        <v>0</v>
      </c>
      <c r="CF250" s="14">
        <f t="shared" si="126"/>
        <v>1787085.375</v>
      </c>
      <c r="CG250" s="18"/>
      <c r="CH250" s="16"/>
      <c r="CI250" s="17"/>
      <c r="CJ250" s="17"/>
    </row>
    <row r="251" spans="1:88" s="13" customFormat="1" x14ac:dyDescent="0.35">
      <c r="A251" s="13">
        <v>1001617820</v>
      </c>
      <c r="B251" s="17" t="s">
        <v>97</v>
      </c>
      <c r="C251" s="17" t="s">
        <v>83</v>
      </c>
      <c r="D251" s="17" t="s">
        <v>286</v>
      </c>
      <c r="E251" s="17">
        <v>5421</v>
      </c>
      <c r="F251" s="17" t="s">
        <v>86</v>
      </c>
      <c r="G251" s="17" t="s">
        <v>87</v>
      </c>
      <c r="H251" s="17">
        <v>1001617820</v>
      </c>
      <c r="I251" s="17" t="s">
        <v>360</v>
      </c>
      <c r="J251" s="17" t="s">
        <v>235</v>
      </c>
      <c r="K251" s="17">
        <v>0</v>
      </c>
      <c r="L251" s="17">
        <v>0</v>
      </c>
      <c r="M251" s="17" t="s">
        <v>96</v>
      </c>
      <c r="N251" s="19">
        <v>1</v>
      </c>
      <c r="O251" s="19">
        <v>1</v>
      </c>
      <c r="P251" s="20">
        <v>0</v>
      </c>
      <c r="Q251" s="17">
        <v>0</v>
      </c>
      <c r="R251" s="14">
        <f t="shared" si="118"/>
        <v>0</v>
      </c>
      <c r="S251" s="15">
        <v>0</v>
      </c>
      <c r="T251" s="15">
        <v>0</v>
      </c>
      <c r="U251" s="7">
        <f t="shared" si="100"/>
        <v>0</v>
      </c>
      <c r="V251" s="15">
        <v>0</v>
      </c>
      <c r="W251" s="7">
        <f t="shared" si="101"/>
        <v>0</v>
      </c>
      <c r="X251" s="15">
        <v>0</v>
      </c>
      <c r="Y251" s="7">
        <f t="shared" si="119"/>
        <v>0</v>
      </c>
      <c r="Z251" s="15">
        <v>0</v>
      </c>
      <c r="AA251" s="7">
        <f t="shared" si="102"/>
        <v>0</v>
      </c>
      <c r="AB251" s="15">
        <v>0</v>
      </c>
      <c r="AC251" s="14">
        <f t="shared" si="103"/>
        <v>0</v>
      </c>
      <c r="AD251" s="14">
        <f t="shared" si="120"/>
        <v>0</v>
      </c>
      <c r="AE251" s="14">
        <f t="shared" si="121"/>
        <v>0</v>
      </c>
      <c r="AF251" s="15">
        <v>0</v>
      </c>
      <c r="AG251" s="7">
        <f t="shared" si="104"/>
        <v>0</v>
      </c>
      <c r="AH251" s="15">
        <v>0</v>
      </c>
      <c r="AI251" s="7">
        <f t="shared" si="105"/>
        <v>0</v>
      </c>
      <c r="AJ251" s="15">
        <v>0</v>
      </c>
      <c r="AK251" s="14">
        <f t="shared" si="106"/>
        <v>0</v>
      </c>
      <c r="AL251" s="15">
        <v>0</v>
      </c>
      <c r="AM251" s="7">
        <f t="shared" si="107"/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7">
        <f t="shared" si="108"/>
        <v>0</v>
      </c>
      <c r="AT251" s="14">
        <f t="shared" si="122"/>
        <v>0</v>
      </c>
      <c r="AU251" s="14">
        <f t="shared" si="123"/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95101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4">
        <f t="shared" si="124"/>
        <v>0</v>
      </c>
      <c r="BS251" s="15">
        <v>0</v>
      </c>
      <c r="BT251" s="15">
        <v>0</v>
      </c>
      <c r="BU251" s="15">
        <v>0</v>
      </c>
      <c r="BV251" s="14">
        <f t="shared" si="125"/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4">
        <f t="shared" si="126"/>
        <v>95101</v>
      </c>
      <c r="CG251" s="18"/>
      <c r="CH251" s="16"/>
      <c r="CI251" s="17"/>
      <c r="CJ251" s="17"/>
    </row>
    <row r="252" spans="1:88" s="13" customFormat="1" x14ac:dyDescent="0.35">
      <c r="A252" s="13">
        <v>1239488288</v>
      </c>
      <c r="B252" s="17" t="s">
        <v>97</v>
      </c>
      <c r="C252" s="17" t="s">
        <v>83</v>
      </c>
      <c r="D252" s="17" t="s">
        <v>286</v>
      </c>
      <c r="E252" s="17">
        <v>5421</v>
      </c>
      <c r="F252" s="17" t="s">
        <v>86</v>
      </c>
      <c r="G252" s="17" t="s">
        <v>87</v>
      </c>
      <c r="H252" s="17">
        <v>1239488288</v>
      </c>
      <c r="I252" s="17" t="s">
        <v>361</v>
      </c>
      <c r="J252" s="17" t="s">
        <v>235</v>
      </c>
      <c r="K252" s="17">
        <v>0</v>
      </c>
      <c r="L252" s="17">
        <v>0</v>
      </c>
      <c r="M252" s="17" t="s">
        <v>96</v>
      </c>
      <c r="N252" s="19">
        <v>1</v>
      </c>
      <c r="O252" s="19">
        <v>1</v>
      </c>
      <c r="P252" s="20">
        <v>0</v>
      </c>
      <c r="Q252" s="17">
        <v>0</v>
      </c>
      <c r="R252" s="14">
        <f t="shared" si="118"/>
        <v>0</v>
      </c>
      <c r="S252" s="15">
        <v>0</v>
      </c>
      <c r="T252" s="15">
        <v>0</v>
      </c>
      <c r="U252" s="7">
        <f t="shared" si="100"/>
        <v>0</v>
      </c>
      <c r="V252" s="15">
        <v>0</v>
      </c>
      <c r="W252" s="7">
        <f t="shared" si="101"/>
        <v>0</v>
      </c>
      <c r="X252" s="15">
        <v>0</v>
      </c>
      <c r="Y252" s="7">
        <f t="shared" si="119"/>
        <v>0</v>
      </c>
      <c r="Z252" s="15">
        <v>0</v>
      </c>
      <c r="AA252" s="7">
        <f t="shared" si="102"/>
        <v>0</v>
      </c>
      <c r="AB252" s="15">
        <v>0</v>
      </c>
      <c r="AC252" s="14">
        <f t="shared" si="103"/>
        <v>0</v>
      </c>
      <c r="AD252" s="14">
        <f t="shared" si="120"/>
        <v>0</v>
      </c>
      <c r="AE252" s="14">
        <f t="shared" si="121"/>
        <v>0</v>
      </c>
      <c r="AF252" s="15">
        <v>0</v>
      </c>
      <c r="AG252" s="7">
        <f t="shared" si="104"/>
        <v>0</v>
      </c>
      <c r="AH252" s="15">
        <v>0</v>
      </c>
      <c r="AI252" s="7">
        <f t="shared" si="105"/>
        <v>0</v>
      </c>
      <c r="AJ252" s="15">
        <v>0</v>
      </c>
      <c r="AK252" s="14">
        <f t="shared" si="106"/>
        <v>0</v>
      </c>
      <c r="AL252" s="15">
        <v>0</v>
      </c>
      <c r="AM252" s="7">
        <f t="shared" si="107"/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7">
        <f t="shared" si="108"/>
        <v>0</v>
      </c>
      <c r="AT252" s="14">
        <f t="shared" si="122"/>
        <v>0</v>
      </c>
      <c r="AU252" s="14">
        <f t="shared" si="123"/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95101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4">
        <f t="shared" si="124"/>
        <v>0</v>
      </c>
      <c r="BS252" s="15">
        <v>0</v>
      </c>
      <c r="BT252" s="15">
        <v>0</v>
      </c>
      <c r="BU252" s="15">
        <v>0</v>
      </c>
      <c r="BV252" s="14">
        <f t="shared" si="125"/>
        <v>0</v>
      </c>
      <c r="BW252" s="15">
        <v>0</v>
      </c>
      <c r="BX252" s="15">
        <v>0</v>
      </c>
      <c r="BY252" s="15">
        <v>0</v>
      </c>
      <c r="BZ252" s="15">
        <v>0</v>
      </c>
      <c r="CA252" s="15">
        <v>0</v>
      </c>
      <c r="CB252" s="15">
        <v>0</v>
      </c>
      <c r="CC252" s="15">
        <v>0</v>
      </c>
      <c r="CD252" s="15">
        <v>0</v>
      </c>
      <c r="CE252" s="15">
        <v>0</v>
      </c>
      <c r="CF252" s="14">
        <f t="shared" si="126"/>
        <v>95101</v>
      </c>
      <c r="CG252" s="18"/>
      <c r="CH252" s="16"/>
      <c r="CI252" s="17"/>
      <c r="CJ252" s="17"/>
    </row>
  </sheetData>
  <conditionalFormatting sqref="H1:H1048576">
    <cfRule type="duplicateValues" dxfId="1" priority="1"/>
  </conditionalFormatting>
  <conditionalFormatting sqref="H253:H1048576">
    <cfRule type="duplicateValues" dxfId="0" priority="166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7B6C2535F514287C01BAA01AD5C1C" ma:contentTypeVersion="3" ma:contentTypeDescription="Crear nuevo documento." ma:contentTypeScope="" ma:versionID="85663ea3ebee78d756a478d01389312c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5d2bc24da965083273f8b55cd4ed9de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8F09D6-A4B5-4419-853A-B0D4C9F0A2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19C69A-91D4-461D-B665-96D1E3805FD4}"/>
</file>

<file path=customXml/itemProps3.xml><?xml version="1.0" encoding="utf-8"?>
<ds:datastoreItem xmlns:ds="http://schemas.openxmlformats.org/officeDocument/2006/customXml" ds:itemID="{80AD3AEF-33D4-49DF-971B-A2722E13ABD4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df1bd5ee-9759-4dcb-8f55-9ff131ccee58"/>
    <ds:schemaRef ds:uri="http://purl.org/dc/dcmitype/"/>
    <ds:schemaRef ds:uri="http://schemas.openxmlformats.org/package/2006/metadata/core-properties"/>
    <ds:schemaRef ds:uri="38c37a73-c663-4cb4-8462-dc2e97b2afb3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Facturacion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Alexis Barrios Muñoz</dc:creator>
  <cp:lastModifiedBy>Maritza Jasbleidy Cely Zapata (DHL Supply Chain)</cp:lastModifiedBy>
  <dcterms:created xsi:type="dcterms:W3CDTF">2021-04-21T22:24:40Z</dcterms:created>
  <dcterms:modified xsi:type="dcterms:W3CDTF">2025-08-28T20:18:17Z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2022-11-29T13:22:07Z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7d365832-88e1-438d-a119-65841863e7a9</vt:lpwstr>
  </property>
  <property fmtid="{D5CDD505-2E9C-101B-9397-08002B2CF9AE}" pid="8" name="MSIP_Label_736915f3-2f02-4945-8997-f2963298db46_ContentBits">
    <vt:lpwstr>1</vt:lpwstr>
  </property>
  <property fmtid="{D5CDD505-2E9C-101B-9397-08002B2CF9AE}" pid="9" name="ContentTypeId">
    <vt:lpwstr>0x0101008A97B6C2535F514287C01BAA01AD5C1C</vt:lpwstr>
  </property>
</Properties>
</file>